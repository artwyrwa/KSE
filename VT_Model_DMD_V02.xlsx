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"/>
    </mc:Choice>
  </mc:AlternateContent>
  <xr:revisionPtr revIDLastSave="0" documentId="11_1908408C0DD2C4CF1FF5335FA779D741CDBC0C57" xr6:coauthVersionLast="47" xr6:coauthVersionMax="47" xr10:uidLastSave="{00000000-0000-0000-0000-000000000000}"/>
  <bookViews>
    <workbookView xWindow="0" yWindow="0" windowWidth="34777" windowHeight="14930" tabRatio="901" xr2:uid="{00000000-000D-0000-FFFF-FFFF00000000}"/>
  </bookViews>
  <sheets>
    <sheet name="BILANS" sheetId="141" r:id="rId1"/>
    <sheet name="SEC_Comm" sheetId="112" r:id="rId2"/>
    <sheet name="SEC_Processes" sheetId="140" r:id="rId3"/>
    <sheet name="SEKTORY_KONCOWE" sheetId="139" r:id="rId4"/>
    <sheet name="POPYT" sheetId="128" r:id="rId5"/>
  </sheets>
  <externalReferences>
    <externalReference r:id="rId6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4" i="128" l="1"/>
  <c r="S14" i="128" s="1"/>
  <c r="T14" i="128" s="1"/>
  <c r="D31" i="141"/>
  <c r="C8" i="128" s="1"/>
  <c r="Q20" i="128" s="1"/>
  <c r="R20" i="128" s="1"/>
  <c r="D30" i="141"/>
  <c r="C7" i="128" s="1"/>
  <c r="Q19" i="128" s="1"/>
  <c r="R19" i="128" s="1"/>
  <c r="E14" i="141"/>
  <c r="D14" i="141"/>
  <c r="AF19" i="128" l="1"/>
  <c r="W19" i="128"/>
  <c r="V19" i="128"/>
  <c r="AP19" i="128"/>
  <c r="Z19" i="128"/>
  <c r="AO19" i="128"/>
  <c r="AG19" i="128"/>
  <c r="Y19" i="128"/>
  <c r="AN19" i="128"/>
  <c r="AM19" i="128"/>
  <c r="AT19" i="128"/>
  <c r="AD19" i="128"/>
  <c r="AK19" i="128"/>
  <c r="U19" i="128"/>
  <c r="AR19" i="128"/>
  <c r="AJ19" i="128"/>
  <c r="AB19" i="128"/>
  <c r="T19" i="128"/>
  <c r="AH19" i="128"/>
  <c r="X19" i="128"/>
  <c r="AU19" i="128"/>
  <c r="AE19" i="128"/>
  <c r="AL19" i="128"/>
  <c r="AS19" i="128"/>
  <c r="AC19" i="128"/>
  <c r="AQ19" i="128"/>
  <c r="AI19" i="128"/>
  <c r="AA19" i="128"/>
  <c r="S19" i="128"/>
  <c r="U14" i="128"/>
  <c r="T20" i="128"/>
  <c r="S20" i="128"/>
  <c r="B8" i="139"/>
  <c r="C8" i="139"/>
  <c r="C7" i="139"/>
  <c r="B7" i="139"/>
  <c r="V14" i="128" l="1"/>
  <c r="U20" i="128"/>
  <c r="B8" i="128"/>
  <c r="G17" i="128" s="1"/>
  <c r="B17" i="128"/>
  <c r="E8" i="139"/>
  <c r="E7" i="139"/>
  <c r="D8" i="139"/>
  <c r="D7" i="139"/>
  <c r="V20" i="128" l="1"/>
  <c r="W14" i="128"/>
  <c r="G18" i="128"/>
  <c r="G19" i="128" s="1"/>
  <c r="G20" i="128" s="1"/>
  <c r="G21" i="128" s="1"/>
  <c r="G22" i="128" s="1"/>
  <c r="G23" i="128" s="1"/>
  <c r="G24" i="128" s="1"/>
  <c r="G25" i="128" s="1"/>
  <c r="G26" i="128" s="1"/>
  <c r="G27" i="128" s="1"/>
  <c r="G28" i="128" s="1"/>
  <c r="G29" i="128" s="1"/>
  <c r="G30" i="128" s="1"/>
  <c r="G31" i="128" s="1"/>
  <c r="G32" i="128" s="1"/>
  <c r="G33" i="128" s="1"/>
  <c r="G34" i="128" s="1"/>
  <c r="G35" i="128" s="1"/>
  <c r="G36" i="128" s="1"/>
  <c r="G37" i="128" s="1"/>
  <c r="G38" i="128" s="1"/>
  <c r="G39" i="128" s="1"/>
  <c r="G40" i="128" s="1"/>
  <c r="G41" i="128" s="1"/>
  <c r="G42" i="128" s="1"/>
  <c r="G43" i="128" s="1"/>
  <c r="G44" i="128" s="1"/>
  <c r="B7" i="128"/>
  <c r="W20" i="128" l="1"/>
  <c r="X14" i="128"/>
  <c r="B29" i="128"/>
  <c r="Y14" i="128" l="1"/>
  <c r="X20" i="128"/>
  <c r="B39" i="128"/>
  <c r="B26" i="128"/>
  <c r="B24" i="128"/>
  <c r="B19" i="128"/>
  <c r="B43" i="128"/>
  <c r="B41" i="128"/>
  <c r="B34" i="128"/>
  <c r="B25" i="128"/>
  <c r="B35" i="128"/>
  <c r="B40" i="128"/>
  <c r="B30" i="128"/>
  <c r="B31" i="128"/>
  <c r="B44" i="128"/>
  <c r="B38" i="128"/>
  <c r="B18" i="128"/>
  <c r="B23" i="128"/>
  <c r="B22" i="128"/>
  <c r="B32" i="128"/>
  <c r="B27" i="128"/>
  <c r="B21" i="128"/>
  <c r="B28" i="128"/>
  <c r="B36" i="128"/>
  <c r="B42" i="128"/>
  <c r="B37" i="128"/>
  <c r="B33" i="128"/>
  <c r="B20" i="128"/>
  <c r="Z14" i="128" l="1"/>
  <c r="Y20" i="128"/>
  <c r="AA14" i="128" l="1"/>
  <c r="Z20" i="128"/>
  <c r="AB14" i="128" l="1"/>
  <c r="AA20" i="128"/>
  <c r="AC14" i="128" l="1"/>
  <c r="AB20" i="128"/>
  <c r="AC20" i="128" l="1"/>
  <c r="AD14" i="128"/>
  <c r="AD20" i="128" l="1"/>
  <c r="AE14" i="128"/>
  <c r="AE20" i="128" l="1"/>
  <c r="AF14" i="128"/>
  <c r="AF20" i="128" l="1"/>
  <c r="AG14" i="128"/>
  <c r="AH14" i="128" l="1"/>
  <c r="AG20" i="128"/>
  <c r="AI14" i="128" l="1"/>
  <c r="AH20" i="128"/>
  <c r="AJ14" i="128" l="1"/>
  <c r="AI20" i="128"/>
  <c r="AJ20" i="128" l="1"/>
  <c r="AK14" i="128"/>
  <c r="AL14" i="128" l="1"/>
  <c r="AK20" i="128"/>
  <c r="AL20" i="128" l="1"/>
  <c r="AM14" i="128"/>
  <c r="AM20" i="128" l="1"/>
  <c r="AN14" i="128"/>
  <c r="AN20" i="128" l="1"/>
  <c r="AO14" i="128"/>
  <c r="AO20" i="128" l="1"/>
  <c r="AP14" i="128"/>
  <c r="AP20" i="128" l="1"/>
  <c r="AQ14" i="128"/>
  <c r="AR14" i="128" l="1"/>
  <c r="AQ20" i="128"/>
  <c r="AS14" i="128" l="1"/>
  <c r="AR20" i="128"/>
  <c r="AT14" i="128" l="1"/>
  <c r="AS20" i="128"/>
  <c r="AT20" i="128" l="1"/>
  <c r="AU14" i="128"/>
  <c r="AU20" i="1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7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7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7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7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7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7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7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7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<sst xmlns="http://schemas.openxmlformats.org/spreadsheetml/2006/main" count="335" uniqueCount="190">
  <si>
    <t>*Bilans energii</t>
  </si>
  <si>
    <t>Tabela: Syntetyczny bilans energii dla rozpatrywanego systemu w 2020 r.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</si>
  <si>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</si>
  <si>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</si>
  <si>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</si>
  <si>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</si>
  <si>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</si>
  <si>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</si>
  <si>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</si>
  <si>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</si>
  <si>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tys.t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</si>
  <si>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</si>
  <si>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</si>
  <si>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</si>
  <si>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r>
      <t>Elektrownie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</si>
  <si>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węglu brunatnym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</si>
  <si>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Elektrociepłownie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</si>
  <si>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gazie ziemnym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</si>
  <si>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wiatrowe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</si>
  <si>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słoneczne</t>
    </r>
    <r>
      <rPr>
        <b/>
        <vertAlign val="superscript"/>
        <sz val="10"/>
        <rFont val="Times New Roman"/>
        <family val="1"/>
        <charset val="238"/>
      </rPr>
      <t>1</t>
    </r>
  </si>
  <si>
    <r>
      <t>Ciepłownie</t>
    </r>
    <r>
      <rPr>
        <b/>
        <vertAlign val="superscript"/>
        <sz val="10"/>
        <rFont val="Times New Roman"/>
        <family val="1"/>
        <charset val="238"/>
      </rPr>
      <t>2</t>
    </r>
  </si>
  <si>
    <t>Razem</t>
  </si>
  <si>
    <t>Źródło:</t>
  </si>
  <si>
    <t>1) opracowanie własne na podstawie "Statystyka Elektroenergetyki Polskiej 2020" - Ministerstwo Klimatu i Środowiska, Agencja Rynku Energii S.A., Warszawa 2021.</t>
  </si>
  <si>
    <t>2) EUROSTAT NRG_BAL, NRG_BAL_PEH.</t>
  </si>
  <si>
    <t>Tabela: Sprawności przesyłu i transformacji nośników energii w sieci w 2020 r.</t>
  </si>
  <si>
    <t>Nośnik energii</t>
  </si>
  <si>
    <t>Przesył i transformacja</t>
  </si>
  <si>
    <t>Sprawność</t>
  </si>
  <si>
    <t>Energie elektryczna</t>
  </si>
  <si>
    <t>WN-nn</t>
  </si>
  <si>
    <t>Energia elektryczna</t>
  </si>
  <si>
    <t>SN-nn</t>
  </si>
  <si>
    <t>Energia cieplna</t>
  </si>
  <si>
    <t>WT-NT</t>
  </si>
  <si>
    <t>Źródło: Opracowanie własne.</t>
  </si>
  <si>
    <t>Tabela: Zapotrzebowanie na energię końcową w 2020 r.</t>
  </si>
  <si>
    <t>Jednostka</t>
  </si>
  <si>
    <t>Zapotrzebowanie końcowe</t>
  </si>
  <si>
    <t>[TWh]</t>
  </si>
  <si>
    <t>[PJ]</t>
  </si>
  <si>
    <t>* Zdefiniuj dobra wykorzystywane w arkuszu</t>
  </si>
  <si>
    <t>*Surowce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</si>
  <si>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</si>
  <si>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</si>
  <si>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</si>
  <si>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</si>
  <si>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</si>
  <si>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</si>
  <si>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</si>
  <si>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</si>
  <si>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</si>
  <si>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 Przynależność do zbioru dóbr</t>
  </si>
  <si>
    <t>Nazwa dobra</t>
  </si>
  <si>
    <t>Opis dobra</t>
  </si>
  <si>
    <t>Znak w równaniu bilansu</t>
  </si>
  <si>
    <t>Poziom podokresów</t>
  </si>
  <si>
    <t>Monitorowanie szczytu</t>
  </si>
  <si>
    <t>Wskaźnik energii elektrycznej</t>
  </si>
  <si>
    <t>NRG</t>
  </si>
  <si>
    <t>ELE_nn</t>
  </si>
  <si>
    <t>Energia elektryczna niskie napiecie</t>
  </si>
  <si>
    <t>PJ</t>
  </si>
  <si>
    <t>DAYNITE</t>
  </si>
  <si>
    <t>ANNUAL</t>
  </si>
  <si>
    <t>ELC</t>
  </si>
  <si>
    <t>CIEP_NT</t>
  </si>
  <si>
    <t>Cieplo zasilajace (o nizszej temperaturze)</t>
  </si>
  <si>
    <t>DEM</t>
  </si>
  <si>
    <t>ELE_UZYTEK</t>
  </si>
  <si>
    <t>Energia elektryczna uzytkowa</t>
  </si>
  <si>
    <t>CIEP_UZYTEK</t>
  </si>
  <si>
    <t>Cieplo uzytkowe</t>
  </si>
  <si>
    <t>* Zdefiniuj procesy wykorzystywane w arkuszu</t>
  </si>
  <si>
    <t>*Procesy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</si>
  <si>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</si>
  <si>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</si>
  <si>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</si>
  <si>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</si>
  <si>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</si>
  <si>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</si>
  <si>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</si>
  <si>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</si>
  <si>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</si>
  <si>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</si>
  <si>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 Przynależność do zbioru procesów</t>
  </si>
  <si>
    <t>Nazwa regionu</t>
  </si>
  <si>
    <t>Nazwa technologii</t>
  </si>
  <si>
    <t>Opis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</si>
  <si>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</si>
  <si>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</si>
  <si>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</si>
  <si>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</si>
  <si>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</si>
  <si>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DMD</t>
  </si>
  <si>
    <t>PL</t>
  </si>
  <si>
    <t>ELE_ODBIORY_KONCOWE</t>
  </si>
  <si>
    <t>Procesy przetwarzania energii finalnej na uzyteczna</t>
  </si>
  <si>
    <t>NO</t>
  </si>
  <si>
    <t>CIEP_ODBIORY_KONCOWE</t>
  </si>
  <si>
    <t>*Technologie odbiorcze</t>
  </si>
  <si>
    <t>~FI_T</t>
  </si>
  <si>
    <t>*TechDesc</t>
  </si>
  <si>
    <t>Comm-IN</t>
  </si>
  <si>
    <t>Comm-OUT</t>
  </si>
  <si>
    <t>EFF</t>
  </si>
  <si>
    <t>CAP2ACT</t>
  </si>
  <si>
    <t>* Nazwa technologii</t>
  </si>
  <si>
    <t>Surowiec na wejściu</t>
  </si>
  <si>
    <t>Surowiec na wyjściu</t>
  </si>
  <si>
    <t>Przelicznik mocy na aktywność</t>
  </si>
  <si>
    <t>*Popyt na dobra</t>
  </si>
  <si>
    <t>Driver</t>
  </si>
  <si>
    <t>\~2020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</si>
  <si>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</si>
  <si>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</si>
  <si>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</si>
  <si>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</si>
  <si>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</si>
  <si>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</si>
  <si>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</si>
  <si>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</si>
  <si>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</si>
  <si>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</si>
  <si>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</si>
  <si>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</si>
  <si>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</si>
  <si>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</si>
  <si>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</si>
  <si>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</si>
  <si>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</si>
  <si>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</si>
  <si>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</si>
  <si>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</si>
  <si>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</si>
  <si>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</si>
  <si>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</si>
  <si>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</si>
  <si>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</si>
  <si>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</si>
  <si>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</si>
  <si>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</si>
  <si>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</si>
  <si>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</si>
  <si>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PKB</t>
  </si>
  <si>
    <t>~FI_T:DEMAND</t>
  </si>
  <si>
    <t>POP</t>
  </si>
  <si>
    <t>* Nazwa dobra</t>
  </si>
  <si>
    <t>Wartość roczna popytu na dobro [PJ]</t>
  </si>
  <si>
    <t>Demand</t>
  </si>
  <si>
    <t>Calibration</t>
  </si>
  <si>
    <t>Sensitivity</t>
  </si>
  <si>
    <t>x_1.0</t>
  </si>
  <si>
    <t>x_0.5</t>
  </si>
  <si>
    <t>x_0.99</t>
  </si>
  <si>
    <t>Series</t>
  </si>
  <si>
    <t>~FI_T:COM_FR</t>
  </si>
  <si>
    <t>TimeSlice</t>
  </si>
  <si>
    <t>Podokres</t>
  </si>
  <si>
    <t>Udział podokresu w zapotrzebowaniu rocznym</t>
  </si>
  <si>
    <t>Udział podkresu w zapotrzebowaniu rocznym</t>
  </si>
  <si>
    <t>PROGNOZA POPYTU</t>
  </si>
  <si>
    <t>1_WIOSNA_1</t>
  </si>
  <si>
    <t>1_WIOSNA_2</t>
  </si>
  <si>
    <t>1_WIOSNA_3</t>
  </si>
  <si>
    <t>1_WIOSNA_4</t>
  </si>
  <si>
    <t>1_WIOSNA_5</t>
  </si>
  <si>
    <t>1_WIOSNA_6</t>
  </si>
  <si>
    <t>1_WIOSNA_7</t>
  </si>
  <si>
    <t>2_LATO_1</t>
  </si>
  <si>
    <t>2_LATO_2</t>
  </si>
  <si>
    <t>2_LATO_3</t>
  </si>
  <si>
    <t>2_LATO_4</t>
  </si>
  <si>
    <t>2_LATO_5</t>
  </si>
  <si>
    <t>2_LATO_6</t>
  </si>
  <si>
    <t>2_LATO_7</t>
  </si>
  <si>
    <t>3_JESIEN_1</t>
  </si>
  <si>
    <t>3_JESIEN_2</t>
  </si>
  <si>
    <t>3_JESIEN_3</t>
  </si>
  <si>
    <t>3_JESIEN_4</t>
  </si>
  <si>
    <t>3_JESIEN_5</t>
  </si>
  <si>
    <t>3_JESIEN_6</t>
  </si>
  <si>
    <t>3_JESIEN_7</t>
  </si>
  <si>
    <t>4_ZIMA_1</t>
  </si>
  <si>
    <t>4_ZIMA_2</t>
  </si>
  <si>
    <t>4_ZIMA_3</t>
  </si>
  <si>
    <t>4_ZIMA_4</t>
  </si>
  <si>
    <t>4_ZIMA_5</t>
  </si>
  <si>
    <t>4_ZIMA_6</t>
  </si>
  <si>
    <t>4_ZIMA_7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</si>
</sst>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\ _z_ł_-;\-* #,##0\ _z_ł_-;_-* &quot;-&quot;\ _z_ł_-;_-@_-"/>
    <numFmt numFmtId="44" formatCode="_-* #,##0.00\ &quot;zł&quot;_-;\-* #,##0.00\ &quot;zł&quot;_-;_-* &quot;-&quot;??\ &quot;zł&quot;_-;_-@_-"/>
    <numFmt numFmtId="164" formatCode="_(* #,##0.00_);_(* \(#,##0.00\);_(* &quot;-&quot;??_);_(@_)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[$€]* #,##0.00_);_([$€]* \(#,##0.00\);_([$€]* &quot;-&quot;??_);_(@_)"/>
    <numFmt numFmtId="169" formatCode="_-* #,##0.00\ _€_-;\-* #,##0.00\ _€_-;_-* &quot;-&quot;??\ _€_-;_-@_-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\Te\x\t"/>
    <numFmt numFmtId="184" formatCode="#,##0___)"/>
    <numFmt numFmtId="185" formatCode="#,##0.000___)"/>
    <numFmt numFmtId="186" formatCode="0.000"/>
    <numFmt numFmtId="187" formatCode="0.000000"/>
    <numFmt numFmtId="188" formatCode="0.00000"/>
  </numFmts>
  <fonts count="118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vertAlign val="superscript"/>
      <sz val="10"/>
      <name val="Times New Roman"/>
      <family val="1"/>
      <charset val="238"/>
    </font>
    <font>
      <sz val="12"/>
      <name val="Times New Roman"/>
      <family val="1"/>
      <charset val="238"/>
    </font>
    <font>
      <sz val="14"/>
      <name val="Times New Roman"/>
      <family val="1"/>
      <charset val="238"/>
    </font>
    <font>
      <b/>
      <vertAlign val="superscript"/>
      <sz val="10"/>
      <name val="Times New Roman"/>
      <family val="1"/>
      <charset val="238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</borders>
  <cellStyleXfs count="1247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1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1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1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7" fillId="6" borderId="0" applyNumberFormat="0" applyBorder="0" applyAlignment="0" applyProtection="0"/>
    <xf numFmtId="0" fontId="57" fillId="6" borderId="0" applyNumberFormat="0" applyBorder="0" applyAlignment="0" applyProtection="0"/>
    <xf numFmtId="0" fontId="1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7" fillId="6" borderId="0" applyNumberFormat="0" applyBorder="0" applyAlignment="0" applyProtection="0"/>
    <xf numFmtId="0" fontId="57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1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1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1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1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1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8" fillId="12" borderId="0" applyNumberFormat="0" applyBorder="0" applyAlignment="0" applyProtection="0"/>
    <xf numFmtId="0" fontId="58" fillId="12" borderId="0" applyNumberFormat="0" applyBorder="0" applyAlignment="0" applyProtection="0"/>
    <xf numFmtId="0" fontId="1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8" fillId="12" borderId="0" applyNumberFormat="0" applyBorder="0" applyAlignment="0" applyProtection="0"/>
    <xf numFmtId="0" fontId="58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8" fillId="9" borderId="0" applyNumberFormat="0" applyBorder="0" applyAlignment="0" applyProtection="0"/>
    <xf numFmtId="0" fontId="58" fillId="9" borderId="0" applyNumberFormat="0" applyBorder="0" applyAlignment="0" applyProtection="0"/>
    <xf numFmtId="0" fontId="1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8" fillId="9" borderId="0" applyNumberFormat="0" applyBorder="0" applyAlignment="0" applyProtection="0"/>
    <xf numFmtId="0" fontId="58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8" fillId="10" borderId="0" applyNumberFormat="0" applyBorder="0" applyAlignment="0" applyProtection="0"/>
    <xf numFmtId="0" fontId="58" fillId="10" borderId="0" applyNumberFormat="0" applyBorder="0" applyAlignment="0" applyProtection="0"/>
    <xf numFmtId="0" fontId="1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8" fillId="10" borderId="0" applyNumberFormat="0" applyBorder="0" applyAlignment="0" applyProtection="0"/>
    <xf numFmtId="0" fontId="58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13" fillId="13" borderId="0" applyNumberFormat="0" applyBorder="0" applyAlignment="0" applyProtection="0"/>
    <xf numFmtId="0" fontId="10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1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8" fillId="15" borderId="0" applyNumberFormat="0" applyBorder="0" applyAlignment="0" applyProtection="0"/>
    <xf numFmtId="0" fontId="58" fillId="15" borderId="0" applyNumberFormat="0" applyBorder="0" applyAlignment="0" applyProtection="0"/>
    <xf numFmtId="0" fontId="1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8" fillId="15" borderId="0" applyNumberFormat="0" applyBorder="0" applyAlignment="0" applyProtection="0"/>
    <xf numFmtId="0" fontId="58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174" fontId="5" fillId="20" borderId="1">
      <alignment horizontal="center" vertical="center"/>
    </xf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8" fillId="16" borderId="0" applyNumberFormat="0" applyBorder="0" applyAlignment="0" applyProtection="0"/>
    <xf numFmtId="0" fontId="58" fillId="16" borderId="0" applyNumberFormat="0" applyBorder="0" applyAlignment="0" applyProtection="0"/>
    <xf numFmtId="0" fontId="1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8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1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8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1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8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1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8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1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8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8" fillId="19" borderId="0" applyNumberFormat="0" applyBorder="0" applyAlignment="0" applyProtection="0"/>
    <xf numFmtId="0" fontId="58" fillId="19" borderId="0" applyNumberFormat="0" applyBorder="0" applyAlignment="0" applyProtection="0"/>
    <xf numFmtId="0" fontId="1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8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25" fillId="21" borderId="2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34" fillId="0" borderId="0" applyNumberFormat="0" applyFill="0" applyBorder="0" applyAlignment="0" applyProtection="0"/>
    <xf numFmtId="175" fontId="81" fillId="0" borderId="0">
      <protection locked="0"/>
    </xf>
    <xf numFmtId="0" fontId="82" fillId="0" borderId="0"/>
    <xf numFmtId="0" fontId="83" fillId="0" borderId="0"/>
    <xf numFmtId="175" fontId="81" fillId="0" borderId="0">
      <protection locked="0"/>
    </xf>
    <xf numFmtId="176" fontId="81" fillId="0" borderId="0">
      <protection locked="0"/>
    </xf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9" fillId="7" borderId="3" applyNumberFormat="0" applyAlignment="0" applyProtection="0"/>
    <xf numFmtId="0" fontId="59" fillId="7" borderId="3" applyNumberFormat="0" applyAlignment="0" applyProtection="0"/>
    <xf numFmtId="0" fontId="22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9" fillId="7" borderId="3" applyNumberFormat="0" applyAlignment="0" applyProtection="0"/>
    <xf numFmtId="0" fontId="59" fillId="7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60" fillId="21" borderId="2" applyNumberFormat="0" applyAlignment="0" applyProtection="0"/>
    <xf numFmtId="0" fontId="60" fillId="21" borderId="2" applyNumberFormat="0" applyAlignment="0" applyProtection="0"/>
    <xf numFmtId="0" fontId="25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60" fillId="21" borderId="2" applyNumberFormat="0" applyAlignment="0" applyProtection="0"/>
    <xf numFmtId="0" fontId="60" fillId="21" borderId="2" applyNumberFormat="0" applyAlignment="0" applyProtection="0"/>
    <xf numFmtId="0" fontId="81" fillId="0" borderId="0">
      <protection locked="0"/>
    </xf>
    <xf numFmtId="177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18" fillId="4" borderId="0" applyNumberFormat="0" applyBorder="0" applyAlignment="0" applyProtection="0"/>
    <xf numFmtId="0" fontId="104" fillId="41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22" fillId="7" borderId="3" applyNumberFormat="0" applyAlignment="0" applyProtection="0"/>
    <xf numFmtId="0" fontId="27" fillId="0" borderId="5" applyNumberFormat="0" applyFill="0" applyAlignment="0" applyProtection="0"/>
    <xf numFmtId="0" fontId="17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8" fontId="81" fillId="0" borderId="0">
      <protection locked="0"/>
    </xf>
    <xf numFmtId="0" fontId="84" fillId="0" borderId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38" fontId="6" fillId="23" borderId="0" applyNumberFormat="0" applyBorder="0" applyAlignment="0" applyProtection="0"/>
    <xf numFmtId="0" fontId="18" fillId="4" borderId="0" applyNumberFormat="0" applyBorder="0" applyAlignment="0" applyProtection="0"/>
    <xf numFmtId="0" fontId="85" fillId="0" borderId="0" applyNumberFormat="0" applyFill="0" applyBorder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19" fillId="0" borderId="6" applyNumberFormat="0" applyFill="0" applyAlignment="0" applyProtection="0"/>
    <xf numFmtId="0" fontId="86" fillId="0" borderId="0">
      <protection locked="0"/>
    </xf>
    <xf numFmtId="0" fontId="19" fillId="0" borderId="6" applyNumberFormat="0" applyFill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20" fillId="0" borderId="7" applyNumberFormat="0" applyFill="0" applyAlignment="0" applyProtection="0"/>
    <xf numFmtId="0" fontId="86" fillId="0" borderId="0">
      <protection locked="0"/>
    </xf>
    <xf numFmtId="0" fontId="20" fillId="0" borderId="7" applyNumberFormat="0" applyFill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6" fillId="0" borderId="0">
      <protection locked="0"/>
    </xf>
    <xf numFmtId="0" fontId="86" fillId="0" borderId="0">
      <protection locked="0"/>
    </xf>
    <xf numFmtId="0" fontId="73" fillId="0" borderId="0" applyNumberFormat="0" applyFill="0" applyBorder="0" applyAlignment="0" applyProtection="0"/>
    <xf numFmtId="0" fontId="87" fillId="0" borderId="9" applyNumberFormat="0" applyFill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10" fontId="6" fillId="24" borderId="10" applyNumberFormat="0" applyBorder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4" fontId="74" fillId="0" borderId="0" applyBorder="0">
      <alignment horizontal="right" vertical="center"/>
    </xf>
    <xf numFmtId="4" fontId="74" fillId="0" borderId="11">
      <alignment horizontal="right" vertical="center"/>
    </xf>
    <xf numFmtId="40" fontId="76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2" fillId="0" borderId="12" applyNumberFormat="0" applyFill="0" applyAlignment="0" applyProtection="0"/>
    <xf numFmtId="0" fontId="62" fillId="0" borderId="12" applyNumberFormat="0" applyFill="0" applyAlignment="0" applyProtection="0"/>
    <xf numFmtId="0" fontId="23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2" fillId="0" borderId="12" applyNumberFormat="0" applyFill="0" applyAlignment="0" applyProtection="0"/>
    <xf numFmtId="0" fontId="62" fillId="0" borderId="12" applyNumberFormat="0" applyFill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3" fillId="22" borderId="4" applyNumberFormat="0" applyAlignment="0" applyProtection="0"/>
    <xf numFmtId="0" fontId="63" fillId="22" borderId="4" applyNumberFormat="0" applyAlignment="0" applyProtection="0"/>
    <xf numFmtId="0" fontId="16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3" fillId="22" borderId="4" applyNumberFormat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4" fillId="0" borderId="6" applyNumberFormat="0" applyFill="0" applyAlignment="0" applyProtection="0"/>
    <xf numFmtId="0" fontId="64" fillId="0" borderId="6" applyNumberFormat="0" applyFill="0" applyAlignment="0" applyProtection="0"/>
    <xf numFmtId="0" fontId="19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4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5" fillId="0" borderId="7" applyNumberFormat="0" applyFill="0" applyAlignment="0" applyProtection="0"/>
    <xf numFmtId="0" fontId="65" fillId="0" borderId="7" applyNumberFormat="0" applyFill="0" applyAlignment="0" applyProtection="0"/>
    <xf numFmtId="0" fontId="20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5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6" fillId="0" borderId="8" applyNumberFormat="0" applyFill="0" applyAlignment="0" applyProtection="0"/>
    <xf numFmtId="0" fontId="66" fillId="0" borderId="8" applyNumberFormat="0" applyFill="0" applyAlignment="0" applyProtection="0"/>
    <xf numFmtId="0" fontId="21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6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7" fillId="25" borderId="0" applyNumberFormat="0" applyBorder="0" applyAlignment="0" applyProtection="0"/>
    <xf numFmtId="0" fontId="67" fillId="25" borderId="0" applyNumberFormat="0" applyBorder="0" applyAlignment="0" applyProtection="0"/>
    <xf numFmtId="0" fontId="24" fillId="25" borderId="0" applyNumberFormat="0" applyBorder="0" applyAlignment="0" applyProtection="0"/>
    <xf numFmtId="0" fontId="107" fillId="42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7" fillId="25" borderId="0" applyNumberFormat="0" applyBorder="0" applyAlignment="0" applyProtection="0"/>
    <xf numFmtId="0" fontId="67" fillId="25" borderId="0" applyNumberFormat="0" applyBorder="0" applyAlignment="0" applyProtection="0"/>
    <xf numFmtId="37" fontId="88" fillId="0" borderId="0"/>
    <xf numFmtId="164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" fillId="0" borderId="0"/>
    <xf numFmtId="0" fontId="52" fillId="0" borderId="0"/>
    <xf numFmtId="0" fontId="53" fillId="0" borderId="0"/>
    <xf numFmtId="0" fontId="55" fillId="0" borderId="0"/>
    <xf numFmtId="0" fontId="44" fillId="0" borderId="0"/>
    <xf numFmtId="0" fontId="44" fillId="0" borderId="0"/>
    <xf numFmtId="0" fontId="77" fillId="0" borderId="0"/>
    <xf numFmtId="0" fontId="55" fillId="0" borderId="0"/>
    <xf numFmtId="0" fontId="55" fillId="0" borderId="0"/>
    <xf numFmtId="0" fontId="55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52" fillId="0" borderId="0"/>
    <xf numFmtId="0" fontId="44" fillId="0" borderId="0"/>
    <xf numFmtId="0" fontId="44" fillId="0" borderId="0"/>
    <xf numFmtId="0" fontId="53" fillId="0" borderId="0"/>
    <xf numFmtId="0" fontId="53" fillId="0" borderId="0"/>
    <xf numFmtId="0" fontId="102" fillId="0" borderId="0"/>
    <xf numFmtId="0" fontId="108" fillId="0" borderId="0"/>
    <xf numFmtId="0" fontId="77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77" fillId="0" borderId="0"/>
    <xf numFmtId="0" fontId="55" fillId="0" borderId="0"/>
    <xf numFmtId="0" fontId="7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7" fillId="0" borderId="0"/>
    <xf numFmtId="0" fontId="77" fillId="0" borderId="0"/>
    <xf numFmtId="0" fontId="77" fillId="0" borderId="0"/>
    <xf numFmtId="0" fontId="55" fillId="0" borderId="0"/>
    <xf numFmtId="0" fontId="55" fillId="0" borderId="0"/>
    <xf numFmtId="0" fontId="77" fillId="0" borderId="0"/>
    <xf numFmtId="0" fontId="55" fillId="0" borderId="0"/>
    <xf numFmtId="0" fontId="55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53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99" fillId="0" borderId="0"/>
    <xf numFmtId="0" fontId="44" fillId="0" borderId="0"/>
    <xf numFmtId="0" fontId="44" fillId="0" borderId="0"/>
    <xf numFmtId="0" fontId="44" fillId="0" borderId="0"/>
    <xf numFmtId="0" fontId="1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12" fillId="27" borderId="13" applyNumberFormat="0" applyFon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8" fillId="21" borderId="3" applyNumberFormat="0" applyAlignment="0" applyProtection="0"/>
    <xf numFmtId="0" fontId="68" fillId="21" borderId="3" applyNumberFormat="0" applyAlignment="0" applyProtection="0"/>
    <xf numFmtId="0" fontId="1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8" fillId="21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10" fontId="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9" fillId="0" borderId="0" applyNumberFormat="0" applyFill="0" applyBorder="0" applyAlignment="0" applyProtection="0">
      <alignment horizontal="center"/>
    </xf>
    <xf numFmtId="4" fontId="90" fillId="25" borderId="14" applyNumberFormat="0" applyProtection="0">
      <alignment vertical="center"/>
    </xf>
    <xf numFmtId="4" fontId="91" fillId="28" borderId="14" applyNumberFormat="0" applyProtection="0">
      <alignment vertical="center"/>
    </xf>
    <xf numFmtId="4" fontId="90" fillId="28" borderId="14" applyNumberFormat="0" applyProtection="0">
      <alignment horizontal="left" vertical="center" indent="1"/>
    </xf>
    <xf numFmtId="0" fontId="90" fillId="28" borderId="14" applyNumberFormat="0" applyProtection="0">
      <alignment horizontal="left" vertical="top" indent="1"/>
    </xf>
    <xf numFmtId="4" fontId="90" fillId="29" borderId="0" applyNumberFormat="0" applyProtection="0">
      <alignment horizontal="left" vertical="center" indent="1"/>
    </xf>
    <xf numFmtId="4" fontId="92" fillId="3" borderId="14" applyNumberFormat="0" applyProtection="0">
      <alignment horizontal="right" vertical="center"/>
    </xf>
    <xf numFmtId="4" fontId="92" fillId="9" borderId="14" applyNumberFormat="0" applyProtection="0">
      <alignment horizontal="right" vertical="center"/>
    </xf>
    <xf numFmtId="4" fontId="92" fillId="17" borderId="14" applyNumberFormat="0" applyProtection="0">
      <alignment horizontal="right" vertical="center"/>
    </xf>
    <xf numFmtId="4" fontId="92" fillId="11" borderId="14" applyNumberFormat="0" applyProtection="0">
      <alignment horizontal="right" vertical="center"/>
    </xf>
    <xf numFmtId="4" fontId="92" fillId="15" borderId="14" applyNumberFormat="0" applyProtection="0">
      <alignment horizontal="right" vertical="center"/>
    </xf>
    <xf numFmtId="4" fontId="92" fillId="19" borderId="14" applyNumberFormat="0" applyProtection="0">
      <alignment horizontal="right" vertical="center"/>
    </xf>
    <xf numFmtId="4" fontId="92" fillId="18" borderId="14" applyNumberFormat="0" applyProtection="0">
      <alignment horizontal="right" vertical="center"/>
    </xf>
    <xf numFmtId="4" fontId="92" fillId="30" borderId="14" applyNumberFormat="0" applyProtection="0">
      <alignment horizontal="right" vertical="center"/>
    </xf>
    <xf numFmtId="4" fontId="92" fillId="10" borderId="14" applyNumberFormat="0" applyProtection="0">
      <alignment horizontal="right" vertical="center"/>
    </xf>
    <xf numFmtId="4" fontId="90" fillId="31" borderId="15" applyNumberFormat="0" applyProtection="0">
      <alignment horizontal="left" vertical="center" indent="1"/>
    </xf>
    <xf numFmtId="4" fontId="92" fillId="32" borderId="0" applyNumberFormat="0" applyProtection="0">
      <alignment horizontal="left" vertical="center" indent="1"/>
    </xf>
    <xf numFmtId="4" fontId="93" fillId="33" borderId="0" applyNumberFormat="0" applyProtection="0">
      <alignment horizontal="left" vertical="center" indent="1"/>
    </xf>
    <xf numFmtId="4" fontId="92" fillId="34" borderId="14" applyNumberFormat="0" applyProtection="0">
      <alignment horizontal="right" vertical="center"/>
    </xf>
    <xf numFmtId="4" fontId="92" fillId="32" borderId="0" applyNumberFormat="0" applyProtection="0">
      <alignment horizontal="left" vertical="center" indent="1"/>
    </xf>
    <xf numFmtId="4" fontId="92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2" fillId="24" borderId="14" applyNumberFormat="0" applyProtection="0">
      <alignment vertical="center"/>
    </xf>
    <xf numFmtId="4" fontId="94" fillId="24" borderId="14" applyNumberFormat="0" applyProtection="0">
      <alignment vertical="center"/>
    </xf>
    <xf numFmtId="4" fontId="92" fillId="24" borderId="14" applyNumberFormat="0" applyProtection="0">
      <alignment horizontal="left" vertical="center" indent="1"/>
    </xf>
    <xf numFmtId="0" fontId="92" fillId="24" borderId="14" applyNumberFormat="0" applyProtection="0">
      <alignment horizontal="left" vertical="top" indent="1"/>
    </xf>
    <xf numFmtId="4" fontId="92" fillId="32" borderId="14" applyNumberFormat="0" applyProtection="0">
      <alignment horizontal="right" vertical="center"/>
    </xf>
    <xf numFmtId="4" fontId="94" fillId="32" borderId="14" applyNumberFormat="0" applyProtection="0">
      <alignment horizontal="right" vertical="center"/>
    </xf>
    <xf numFmtId="4" fontId="92" fillId="34" borderId="14" applyNumberFormat="0" applyProtection="0">
      <alignment horizontal="left" vertical="center" indent="1"/>
    </xf>
    <xf numFmtId="0" fontId="92" fillId="29" borderId="14" applyNumberFormat="0" applyProtection="0">
      <alignment horizontal="left" vertical="top" indent="1"/>
    </xf>
    <xf numFmtId="4" fontId="95" fillId="36" borderId="0" applyNumberFormat="0" applyProtection="0">
      <alignment horizontal="left" vertical="center" indent="1"/>
    </xf>
    <xf numFmtId="4" fontId="56" fillId="32" borderId="14" applyNumberFormat="0" applyProtection="0">
      <alignment horizontal="right" vertical="center"/>
    </xf>
    <xf numFmtId="0" fontId="14" fillId="3" borderId="0" applyNumberFormat="0" applyBorder="0" applyAlignment="0" applyProtection="0"/>
    <xf numFmtId="0" fontId="74" fillId="26" borderId="10"/>
    <xf numFmtId="0" fontId="46" fillId="0" borderId="0"/>
    <xf numFmtId="0" fontId="5" fillId="0" borderId="0"/>
    <xf numFmtId="0" fontId="54" fillId="0" borderId="0"/>
    <xf numFmtId="0" fontId="102" fillId="0" borderId="0"/>
    <xf numFmtId="0" fontId="102" fillId="0" borderId="0"/>
    <xf numFmtId="0" fontId="54" fillId="0" borderId="0"/>
    <xf numFmtId="0" fontId="102" fillId="0" borderId="0"/>
    <xf numFmtId="0" fontId="102" fillId="0" borderId="0"/>
    <xf numFmtId="0" fontId="109" fillId="0" borderId="0"/>
    <xf numFmtId="0" fontId="109" fillId="0" borderId="0"/>
    <xf numFmtId="0" fontId="109" fillId="0" borderId="0"/>
    <xf numFmtId="0" fontId="102" fillId="0" borderId="0"/>
    <xf numFmtId="0" fontId="102" fillId="0" borderId="0"/>
    <xf numFmtId="0" fontId="102" fillId="0" borderId="0"/>
    <xf numFmtId="0" fontId="5" fillId="0" borderId="0"/>
    <xf numFmtId="0" fontId="5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7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2" fillId="0" borderId="0"/>
    <xf numFmtId="0" fontId="12" fillId="0" borderId="0"/>
    <xf numFmtId="0" fontId="6" fillId="0" borderId="0"/>
    <xf numFmtId="0" fontId="102" fillId="0" borderId="0"/>
    <xf numFmtId="0" fontId="6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5" fillId="0" borderId="0"/>
    <xf numFmtId="0" fontId="3" fillId="37" borderId="16" applyNumberFormat="0" applyProtection="0">
      <alignment horizontal="center" wrapText="1"/>
    </xf>
    <xf numFmtId="0" fontId="3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96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9" fillId="0" borderId="5" applyNumberFormat="0" applyFill="0" applyAlignment="0" applyProtection="0"/>
    <xf numFmtId="0" fontId="69" fillId="0" borderId="5" applyNumberFormat="0" applyFill="0" applyAlignment="0" applyProtection="0"/>
    <xf numFmtId="0" fontId="2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9" fillId="0" borderId="5" applyNumberFormat="0" applyFill="0" applyAlignment="0" applyProtection="0"/>
    <xf numFmtId="0" fontId="69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27" fillId="0" borderId="5" applyNumberFormat="0" applyFill="0" applyAlignment="0" applyProtection="0"/>
    <xf numFmtId="0" fontId="86" fillId="0" borderId="0">
      <protection locked="0"/>
    </xf>
    <xf numFmtId="0" fontId="27" fillId="0" borderId="5" applyNumberFormat="0" applyFill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7" fontId="6" fillId="28" borderId="0" applyNumberFormat="0" applyBorder="0" applyAlignment="0" applyProtection="0"/>
    <xf numFmtId="37" fontId="6" fillId="0" borderId="0"/>
    <xf numFmtId="37" fontId="6" fillId="28" borderId="0" applyNumberFormat="0" applyBorder="0" applyAlignment="0" applyProtection="0"/>
    <xf numFmtId="3" fontId="97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7" fillId="27" borderId="13" applyNumberFormat="0" applyFont="0" applyAlignment="0" applyProtection="0"/>
    <xf numFmtId="0" fontId="55" fillId="27" borderId="13" applyNumberFormat="0" applyFont="0" applyAlignment="0" applyProtection="0"/>
    <xf numFmtId="0" fontId="55" fillId="27" borderId="13" applyNumberFormat="0" applyFont="0" applyAlignment="0" applyProtection="0"/>
    <xf numFmtId="0" fontId="77" fillId="27" borderId="13" applyNumberFormat="0" applyFont="0" applyAlignment="0" applyProtection="0"/>
    <xf numFmtId="0" fontId="55" fillId="27" borderId="13" applyNumberFormat="0" applyFont="0" applyAlignment="0" applyProtection="0"/>
    <xf numFmtId="0" fontId="55" fillId="27" borderId="13" applyNumberFormat="0" applyFont="0" applyAlignment="0" applyProtection="0"/>
    <xf numFmtId="0" fontId="5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7" fillId="27" borderId="13" applyNumberFormat="0" applyFont="0" applyAlignment="0" applyProtection="0"/>
    <xf numFmtId="0" fontId="55" fillId="27" borderId="13" applyNumberFormat="0" applyFont="0" applyAlignment="0" applyProtection="0"/>
    <xf numFmtId="0" fontId="55" fillId="27" borderId="13" applyNumberFormat="0" applyFont="0" applyAlignment="0" applyProtection="0"/>
    <xf numFmtId="0" fontId="23" fillId="0" borderId="12" applyNumberFormat="0" applyFill="0" applyAlignment="0" applyProtection="0"/>
    <xf numFmtId="167" fontId="5" fillId="0" borderId="0" applyFont="0" applyFill="0" applyBorder="0" applyAlignment="0" applyProtection="0"/>
    <xf numFmtId="173" fontId="7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2" fontId="98" fillId="0" borderId="0">
      <alignment horizontal="right" vertical="center"/>
    </xf>
    <xf numFmtId="0" fontId="16" fillId="22" borderId="4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14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4" fontId="74" fillId="0" borderId="0"/>
    <xf numFmtId="0" fontId="51" fillId="0" borderId="0" applyNumberFormat="0" applyFill="0" applyBorder="0" applyAlignment="0" applyProtection="0">
      <alignment vertical="center"/>
    </xf>
    <xf numFmtId="44" fontId="110" fillId="0" borderId="0" applyFont="0" applyFill="0" applyBorder="0" applyAlignment="0" applyProtection="0"/>
    <xf numFmtId="0" fontId="44" fillId="0" borderId="0"/>
    <xf numFmtId="0" fontId="115" fillId="0" borderId="0"/>
    <xf numFmtId="0" fontId="116" fillId="0" borderId="0"/>
  </cellStyleXfs>
  <cellXfs count="87">
    <xf numFmtId="0" fontId="0" fillId="0" borderId="0" xfId="0"/>
    <xf numFmtId="0" fontId="44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/>
    <xf numFmtId="0" fontId="10" fillId="0" borderId="0" xfId="0" applyFont="1"/>
    <xf numFmtId="0" fontId="29" fillId="0" borderId="0" xfId="796" applyFont="1"/>
    <xf numFmtId="0" fontId="5" fillId="0" borderId="0" xfId="800"/>
    <xf numFmtId="0" fontId="7" fillId="0" borderId="0" xfId="800" applyFont="1" applyAlignment="1">
      <alignment horizontal="left"/>
    </xf>
    <xf numFmtId="0" fontId="3" fillId="28" borderId="19" xfId="80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  <xf numFmtId="0" fontId="6" fillId="0" borderId="0" xfId="0" applyFont="1"/>
    <xf numFmtId="0" fontId="6" fillId="28" borderId="0" xfId="0" applyFont="1" applyFill="1"/>
    <xf numFmtId="0" fontId="10" fillId="28" borderId="18" xfId="0" applyFont="1" applyFill="1" applyBorder="1" applyAlignment="1">
      <alignment horizontal="left" vertical="center" wrapText="1"/>
    </xf>
    <xf numFmtId="0" fontId="55" fillId="28" borderId="0" xfId="0" applyFont="1" applyFill="1" applyAlignment="1">
      <alignment vertical="center" wrapText="1"/>
    </xf>
    <xf numFmtId="0" fontId="10" fillId="28" borderId="18" xfId="0" applyFont="1" applyFill="1" applyBorder="1" applyAlignment="1">
      <alignment horizontal="center" vertical="center" wrapText="1"/>
    </xf>
    <xf numFmtId="183" fontId="4" fillId="40" borderId="0" xfId="0" applyNumberFormat="1" applyFont="1" applyFill="1"/>
    <xf numFmtId="183" fontId="8" fillId="40" borderId="0" xfId="0" applyNumberFormat="1" applyFont="1" applyFill="1"/>
    <xf numFmtId="183" fontId="5" fillId="0" borderId="0" xfId="0" applyNumberFormat="1" applyFont="1"/>
    <xf numFmtId="183" fontId="7" fillId="0" borderId="0" xfId="0" applyNumberFormat="1" applyFont="1"/>
    <xf numFmtId="183" fontId="0" fillId="0" borderId="0" xfId="0" applyNumberFormat="1"/>
    <xf numFmtId="0" fontId="5" fillId="43" borderId="0" xfId="0" applyFont="1" applyFill="1"/>
    <xf numFmtId="183" fontId="0" fillId="43" borderId="0" xfId="0" applyNumberFormat="1" applyFill="1"/>
    <xf numFmtId="0" fontId="44" fillId="43" borderId="0" xfId="0" applyFont="1" applyFill="1" applyAlignment="1">
      <alignment horizontal="left"/>
    </xf>
    <xf numFmtId="183" fontId="44" fillId="43" borderId="0" xfId="0" applyNumberFormat="1" applyFont="1" applyFill="1"/>
    <xf numFmtId="0" fontId="44" fillId="44" borderId="21" xfId="0" applyFont="1" applyFill="1" applyBorder="1"/>
    <xf numFmtId="0" fontId="5" fillId="44" borderId="21" xfId="0" applyFont="1" applyFill="1" applyBorder="1"/>
    <xf numFmtId="0" fontId="5" fillId="39" borderId="18" xfId="791" applyFill="1" applyBorder="1" applyAlignment="1">
      <alignment horizontal="center" vertical="center" wrapText="1"/>
    </xf>
    <xf numFmtId="183" fontId="0" fillId="44" borderId="21" xfId="0" applyNumberFormat="1" applyFill="1" applyBorder="1"/>
    <xf numFmtId="183" fontId="44" fillId="44" borderId="21" xfId="0" applyNumberFormat="1" applyFont="1" applyFill="1" applyBorder="1"/>
    <xf numFmtId="183" fontId="0" fillId="44" borderId="0" xfId="0" applyNumberFormat="1" applyFill="1"/>
    <xf numFmtId="183" fontId="44" fillId="44" borderId="0" xfId="0" applyNumberFormat="1" applyFont="1" applyFill="1"/>
    <xf numFmtId="0" fontId="44" fillId="0" borderId="0" xfId="0" applyFont="1" applyAlignment="1" applyProtection="1">
      <alignment vertical="top"/>
      <protection locked="0"/>
    </xf>
    <xf numFmtId="0" fontId="29" fillId="0" borderId="0" xfId="1243" applyNumberFormat="1" applyFont="1"/>
    <xf numFmtId="183" fontId="3" fillId="28" borderId="20" xfId="0" applyNumberFormat="1" applyFont="1" applyFill="1" applyBorder="1" applyAlignment="1">
      <alignment horizontal="center" vertical="center"/>
    </xf>
    <xf numFmtId="183" fontId="5" fillId="39" borderId="21" xfId="791" applyNumberFormat="1" applyFill="1" applyBorder="1" applyAlignment="1">
      <alignment horizontal="center" vertical="center" wrapText="1"/>
    </xf>
    <xf numFmtId="183" fontId="5" fillId="39" borderId="18" xfId="791" applyNumberFormat="1" applyFill="1" applyBorder="1" applyAlignment="1">
      <alignment horizontal="center" vertical="center" wrapText="1"/>
    </xf>
    <xf numFmtId="183" fontId="3" fillId="28" borderId="19" xfId="0" applyNumberFormat="1" applyFont="1" applyFill="1" applyBorder="1" applyAlignment="1">
      <alignment horizontal="center" vertical="center"/>
    </xf>
    <xf numFmtId="0" fontId="3" fillId="28" borderId="19" xfId="800" applyFont="1" applyFill="1" applyBorder="1" applyAlignment="1">
      <alignment horizontal="center" vertical="center"/>
    </xf>
    <xf numFmtId="0" fontId="3" fillId="28" borderId="19" xfId="791" applyFont="1" applyFill="1" applyBorder="1" applyAlignment="1">
      <alignment horizontal="center" vertical="center"/>
    </xf>
    <xf numFmtId="0" fontId="111" fillId="40" borderId="0" xfId="1244" quotePrefix="1" applyFont="1" applyFill="1" applyAlignment="1">
      <alignment horizontal="left"/>
    </xf>
    <xf numFmtId="0" fontId="44" fillId="0" borderId="0" xfId="1244"/>
    <xf numFmtId="0" fontId="112" fillId="0" borderId="0" xfId="1244" applyFont="1"/>
    <xf numFmtId="0" fontId="113" fillId="0" borderId="22" xfId="1244" applyFont="1" applyBorder="1" applyAlignment="1">
      <alignment horizontal="left" vertical="center" wrapText="1"/>
    </xf>
    <xf numFmtId="0" fontId="113" fillId="0" borderId="23" xfId="1244" applyFont="1" applyBorder="1" applyAlignment="1">
      <alignment horizontal="center" vertical="center" wrapText="1"/>
    </xf>
    <xf numFmtId="0" fontId="113" fillId="0" borderId="24" xfId="1244" applyFont="1" applyBorder="1" applyAlignment="1">
      <alignment horizontal="center" vertical="center" wrapText="1"/>
    </xf>
    <xf numFmtId="0" fontId="113" fillId="0" borderId="25" xfId="1244" applyFont="1" applyBorder="1" applyAlignment="1">
      <alignment horizontal="left" vertical="center" wrapText="1"/>
    </xf>
    <xf numFmtId="0" fontId="112" fillId="0" borderId="10" xfId="1244" applyFont="1" applyBorder="1" applyAlignment="1">
      <alignment horizontal="center"/>
    </xf>
    <xf numFmtId="0" fontId="112" fillId="0" borderId="26" xfId="1244" applyFont="1" applyBorder="1" applyAlignment="1">
      <alignment horizontal="center"/>
    </xf>
    <xf numFmtId="0" fontId="113" fillId="0" borderId="25" xfId="1245" applyFont="1" applyBorder="1" applyAlignment="1">
      <alignment horizontal="left" vertical="center"/>
    </xf>
    <xf numFmtId="184" fontId="112" fillId="0" borderId="10" xfId="1246" applyNumberFormat="1" applyFont="1" applyBorder="1" applyAlignment="1">
      <alignment horizontal="center" vertical="center"/>
    </xf>
    <xf numFmtId="184" fontId="112" fillId="0" borderId="26" xfId="1246" applyNumberFormat="1" applyFont="1" applyBorder="1" applyAlignment="1">
      <alignment horizontal="center" vertical="center"/>
    </xf>
    <xf numFmtId="185" fontId="112" fillId="0" borderId="10" xfId="1246" applyNumberFormat="1" applyFont="1" applyBorder="1" applyAlignment="1">
      <alignment horizontal="center" vertical="center"/>
    </xf>
    <xf numFmtId="0" fontId="113" fillId="0" borderId="27" xfId="1244" applyFont="1" applyBorder="1" applyAlignment="1">
      <alignment horizontal="left"/>
    </xf>
    <xf numFmtId="184" fontId="112" fillId="0" borderId="11" xfId="1246" applyNumberFormat="1" applyFont="1" applyBorder="1" applyAlignment="1">
      <alignment horizontal="center" vertical="center"/>
    </xf>
    <xf numFmtId="184" fontId="113" fillId="0" borderId="11" xfId="1246" applyNumberFormat="1" applyFont="1" applyBorder="1" applyAlignment="1">
      <alignment horizontal="center" vertical="center"/>
    </xf>
    <xf numFmtId="184" fontId="112" fillId="0" borderId="28" xfId="1246" applyNumberFormat="1" applyFont="1" applyBorder="1" applyAlignment="1">
      <alignment horizontal="center" vertical="center"/>
    </xf>
    <xf numFmtId="0" fontId="113" fillId="0" borderId="22" xfId="1244" applyFont="1" applyBorder="1" applyAlignment="1">
      <alignment horizontal="center" vertical="center"/>
    </xf>
    <xf numFmtId="0" fontId="113" fillId="0" borderId="24" xfId="1244" applyFont="1" applyBorder="1" applyAlignment="1">
      <alignment horizontal="center" vertical="center"/>
    </xf>
    <xf numFmtId="0" fontId="112" fillId="0" borderId="25" xfId="1244" applyFont="1" applyBorder="1"/>
    <xf numFmtId="186" fontId="112" fillId="0" borderId="26" xfId="1244" applyNumberFormat="1" applyFont="1" applyBorder="1" applyAlignment="1">
      <alignment horizontal="center" vertical="center"/>
    </xf>
    <xf numFmtId="0" fontId="112" fillId="0" borderId="27" xfId="1244" applyFont="1" applyBorder="1"/>
    <xf numFmtId="0" fontId="112" fillId="0" borderId="11" xfId="1244" applyFont="1" applyBorder="1" applyAlignment="1">
      <alignment horizontal="center"/>
    </xf>
    <xf numFmtId="186" fontId="112" fillId="0" borderId="28" xfId="1244" applyNumberFormat="1" applyFont="1" applyBorder="1" applyAlignment="1">
      <alignment horizontal="center" vertical="center"/>
    </xf>
    <xf numFmtId="0" fontId="112" fillId="0" borderId="0" xfId="1244" applyFont="1" applyAlignment="1">
      <alignment horizontal="center" vertical="center"/>
    </xf>
    <xf numFmtId="0" fontId="113" fillId="0" borderId="23" xfId="1244" applyFont="1" applyBorder="1" applyAlignment="1">
      <alignment horizontal="center" vertical="center"/>
    </xf>
    <xf numFmtId="0" fontId="100" fillId="45" borderId="29" xfId="0" applyFont="1" applyFill="1" applyBorder="1" applyAlignment="1">
      <alignment horizontal="center" vertical="center"/>
    </xf>
    <xf numFmtId="0" fontId="44" fillId="46" borderId="0" xfId="0" applyFont="1" applyFill="1"/>
    <xf numFmtId="187" fontId="44" fillId="46" borderId="0" xfId="0" applyNumberFormat="1" applyFont="1" applyFill="1"/>
    <xf numFmtId="0" fontId="44" fillId="47" borderId="30" xfId="0" applyFont="1" applyFill="1" applyBorder="1"/>
    <xf numFmtId="187" fontId="44" fillId="47" borderId="30" xfId="0" applyNumberFormat="1" applyFont="1" applyFill="1" applyBorder="1"/>
    <xf numFmtId="0" fontId="44" fillId="47" borderId="0" xfId="0" applyFont="1" applyFill="1"/>
    <xf numFmtId="0" fontId="44" fillId="46" borderId="30" xfId="0" applyFont="1" applyFill="1" applyBorder="1"/>
    <xf numFmtId="0" fontId="5" fillId="39" borderId="21" xfId="791" applyFill="1" applyBorder="1" applyAlignment="1">
      <alignment vertical="center" wrapText="1"/>
    </xf>
    <xf numFmtId="0" fontId="100" fillId="0" borderId="0" xfId="0" applyFont="1" applyAlignment="1">
      <alignment vertical="center"/>
    </xf>
    <xf numFmtId="186" fontId="5" fillId="43" borderId="0" xfId="0" applyNumberFormat="1" applyFont="1" applyFill="1"/>
    <xf numFmtId="186" fontId="5" fillId="44" borderId="21" xfId="0" applyNumberFormat="1" applyFont="1" applyFill="1" applyBorder="1"/>
    <xf numFmtId="186" fontId="0" fillId="0" borderId="0" xfId="0" applyNumberFormat="1"/>
    <xf numFmtId="186" fontId="0" fillId="44" borderId="21" xfId="0" applyNumberFormat="1" applyFill="1" applyBorder="1"/>
    <xf numFmtId="186" fontId="100" fillId="43" borderId="0" xfId="0" applyNumberFormat="1" applyFont="1" applyFill="1" applyAlignment="1">
      <alignment horizontal="right"/>
    </xf>
    <xf numFmtId="186" fontId="100" fillId="44" borderId="21" xfId="0" applyNumberFormat="1" applyFont="1" applyFill="1" applyBorder="1"/>
    <xf numFmtId="188" fontId="5" fillId="0" borderId="0" xfId="791" applyNumberFormat="1"/>
    <xf numFmtId="0" fontId="5" fillId="39" borderId="21" xfId="791" applyFill="1" applyBorder="1" applyAlignment="1">
      <alignment horizontal="center" vertical="center" wrapText="1"/>
    </xf>
    <xf numFmtId="0" fontId="113" fillId="0" borderId="25" xfId="0" applyFont="1" applyBorder="1" applyAlignment="1">
      <alignment horizontal="left"/>
    </xf>
    <xf numFmtId="0" fontId="55" fillId="0" borderId="0" xfId="0" applyFont="1"/>
    <xf numFmtId="0" fontId="112" fillId="0" borderId="0" xfId="0" applyFont="1"/>
    <xf numFmtId="183" fontId="4" fillId="40" borderId="0" xfId="0" quotePrefix="1" applyNumberFormat="1" applyFont="1" applyFill="1"/>
    <xf numFmtId="0" fontId="5" fillId="39" borderId="18" xfId="791" applyFill="1" applyBorder="1" applyAlignment="1">
      <alignment horizontal="center" vertical="center" wrapText="1"/>
    </xf>
  </cellXfs>
  <cellStyles count="1247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 10" xfId="379" xr:uid="{00000000-0005-0000-0000-00007A010000}"/>
    <cellStyle name="Akcent 1 10 2" xfId="380" xr:uid="{00000000-0005-0000-0000-00007B010000}"/>
    <cellStyle name="Akcent 1 10 3" xfId="381" xr:uid="{00000000-0005-0000-0000-00007C010000}"/>
    <cellStyle name="Akcent 1 11" xfId="382" xr:uid="{00000000-0005-0000-0000-00007D010000}"/>
    <cellStyle name="Akcent 1 12" xfId="383" xr:uid="{00000000-0005-0000-0000-00007E010000}"/>
    <cellStyle name="Akcent 1 2" xfId="384" xr:uid="{00000000-0005-0000-0000-00007F010000}"/>
    <cellStyle name="Akcent 1 3" xfId="385" xr:uid="{00000000-0005-0000-0000-000080010000}"/>
    <cellStyle name="Akcent 1 4" xfId="386" xr:uid="{00000000-0005-0000-0000-000081010000}"/>
    <cellStyle name="Akcent 1 5" xfId="387" xr:uid="{00000000-0005-0000-0000-000082010000}"/>
    <cellStyle name="Akcent 1 6" xfId="388" xr:uid="{00000000-0005-0000-0000-000083010000}"/>
    <cellStyle name="Akcent 1 7" xfId="389" xr:uid="{00000000-0005-0000-0000-000084010000}"/>
    <cellStyle name="Akcent 1 8" xfId="390" xr:uid="{00000000-0005-0000-0000-000085010000}"/>
    <cellStyle name="Akcent 1 9" xfId="391" xr:uid="{00000000-0005-0000-0000-000086010000}"/>
    <cellStyle name="Akcent 1 9 2" xfId="392" xr:uid="{00000000-0005-0000-0000-000087010000}"/>
    <cellStyle name="Akcent 1 9 3" xfId="393" xr:uid="{00000000-0005-0000-0000-000088010000}"/>
    <cellStyle name="Akcent 2 10" xfId="394" xr:uid="{00000000-0005-0000-0000-000089010000}"/>
    <cellStyle name="Akcent 2 10 2" xfId="395" xr:uid="{00000000-0005-0000-0000-00008A010000}"/>
    <cellStyle name="Akcent 2 10 3" xfId="396" xr:uid="{00000000-0005-0000-0000-00008B010000}"/>
    <cellStyle name="Akcent 2 11" xfId="397" xr:uid="{00000000-0005-0000-0000-00008C010000}"/>
    <cellStyle name="Akcent 2 12" xfId="398" xr:uid="{00000000-0005-0000-0000-00008D010000}"/>
    <cellStyle name="Akcent 2 2" xfId="399" xr:uid="{00000000-0005-0000-0000-00008E010000}"/>
    <cellStyle name="Akcent 2 3" xfId="400" xr:uid="{00000000-0005-0000-0000-00008F010000}"/>
    <cellStyle name="Akcent 2 4" xfId="401" xr:uid="{00000000-0005-0000-0000-000090010000}"/>
    <cellStyle name="Akcent 2 5" xfId="402" xr:uid="{00000000-0005-0000-0000-000091010000}"/>
    <cellStyle name="Akcent 2 6" xfId="403" xr:uid="{00000000-0005-0000-0000-000092010000}"/>
    <cellStyle name="Akcent 2 7" xfId="404" xr:uid="{00000000-0005-0000-0000-000093010000}"/>
    <cellStyle name="Akcent 2 8" xfId="405" xr:uid="{00000000-0005-0000-0000-000094010000}"/>
    <cellStyle name="Akcent 2 9" xfId="406" xr:uid="{00000000-0005-0000-0000-000095010000}"/>
    <cellStyle name="Akcent 2 9 2" xfId="407" xr:uid="{00000000-0005-0000-0000-000096010000}"/>
    <cellStyle name="Akcent 2 9 3" xfId="408" xr:uid="{00000000-0005-0000-0000-000097010000}"/>
    <cellStyle name="Akcent 3 10" xfId="409" xr:uid="{00000000-0005-0000-0000-000098010000}"/>
    <cellStyle name="Akcent 3 10 2" xfId="410" xr:uid="{00000000-0005-0000-0000-000099010000}"/>
    <cellStyle name="Akcent 3 10 3" xfId="411" xr:uid="{00000000-0005-0000-0000-00009A010000}"/>
    <cellStyle name="Akcent 3 11" xfId="412" xr:uid="{00000000-0005-0000-0000-00009B010000}"/>
    <cellStyle name="Akcent 3 12" xfId="413" xr:uid="{00000000-0005-0000-0000-00009C010000}"/>
    <cellStyle name="Akcent 3 2" xfId="414" xr:uid="{00000000-0005-0000-0000-00009D010000}"/>
    <cellStyle name="Akcent 3 3" xfId="415" xr:uid="{00000000-0005-0000-0000-00009E010000}"/>
    <cellStyle name="Akcent 3 4" xfId="416" xr:uid="{00000000-0005-0000-0000-00009F010000}"/>
    <cellStyle name="Akcent 3 5" xfId="417" xr:uid="{00000000-0005-0000-0000-0000A0010000}"/>
    <cellStyle name="Akcent 3 6" xfId="418" xr:uid="{00000000-0005-0000-0000-0000A1010000}"/>
    <cellStyle name="Akcent 3 7" xfId="419" xr:uid="{00000000-0005-0000-0000-0000A2010000}"/>
    <cellStyle name="Akcent 3 8" xfId="420" xr:uid="{00000000-0005-0000-0000-0000A3010000}"/>
    <cellStyle name="Akcent 3 9" xfId="421" xr:uid="{00000000-0005-0000-0000-0000A4010000}"/>
    <cellStyle name="Akcent 3 9 2" xfId="422" xr:uid="{00000000-0005-0000-0000-0000A5010000}"/>
    <cellStyle name="Akcent 3 9 3" xfId="423" xr:uid="{00000000-0005-0000-0000-0000A6010000}"/>
    <cellStyle name="Akcent 4 10" xfId="424" xr:uid="{00000000-0005-0000-0000-0000A7010000}"/>
    <cellStyle name="Akcent 4 10 2" xfId="425" xr:uid="{00000000-0005-0000-0000-0000A8010000}"/>
    <cellStyle name="Akcent 4 10 3" xfId="426" xr:uid="{00000000-0005-0000-0000-0000A9010000}"/>
    <cellStyle name="Akcent 4 11" xfId="427" xr:uid="{00000000-0005-0000-0000-0000AA010000}"/>
    <cellStyle name="Akcent 4 12" xfId="428" xr:uid="{00000000-0005-0000-0000-0000AB010000}"/>
    <cellStyle name="Akcent 4 2" xfId="429" xr:uid="{00000000-0005-0000-0000-0000AC010000}"/>
    <cellStyle name="Akcent 4 3" xfId="430" xr:uid="{00000000-0005-0000-0000-0000AD010000}"/>
    <cellStyle name="Akcent 4 4" xfId="431" xr:uid="{00000000-0005-0000-0000-0000AE010000}"/>
    <cellStyle name="Akcent 4 5" xfId="432" xr:uid="{00000000-0005-0000-0000-0000AF010000}"/>
    <cellStyle name="Akcent 4 6" xfId="433" xr:uid="{00000000-0005-0000-0000-0000B0010000}"/>
    <cellStyle name="Akcent 4 7" xfId="434" xr:uid="{00000000-0005-0000-0000-0000B1010000}"/>
    <cellStyle name="Akcent 4 8" xfId="435" xr:uid="{00000000-0005-0000-0000-0000B2010000}"/>
    <cellStyle name="Akcent 4 9" xfId="436" xr:uid="{00000000-0005-0000-0000-0000B3010000}"/>
    <cellStyle name="Akcent 4 9 2" xfId="437" xr:uid="{00000000-0005-0000-0000-0000B4010000}"/>
    <cellStyle name="Akcent 4 9 3" xfId="438" xr:uid="{00000000-0005-0000-0000-0000B5010000}"/>
    <cellStyle name="Akcent 5 10" xfId="439" xr:uid="{00000000-0005-0000-0000-0000B6010000}"/>
    <cellStyle name="Akcent 5 10 2" xfId="440" xr:uid="{00000000-0005-0000-0000-0000B7010000}"/>
    <cellStyle name="Akcent 5 10 3" xfId="441" xr:uid="{00000000-0005-0000-0000-0000B8010000}"/>
    <cellStyle name="Akcent 5 11" xfId="442" xr:uid="{00000000-0005-0000-0000-0000B9010000}"/>
    <cellStyle name="Akcent 5 12" xfId="443" xr:uid="{00000000-0005-0000-0000-0000BA010000}"/>
    <cellStyle name="Akcent 5 2" xfId="444" xr:uid="{00000000-0005-0000-0000-0000BB010000}"/>
    <cellStyle name="Akcent 5 3" xfId="445" xr:uid="{00000000-0005-0000-0000-0000BC010000}"/>
    <cellStyle name="Akcent 5 4" xfId="446" xr:uid="{00000000-0005-0000-0000-0000BD010000}"/>
    <cellStyle name="Akcent 5 5" xfId="447" xr:uid="{00000000-0005-0000-0000-0000BE010000}"/>
    <cellStyle name="Akcent 5 6" xfId="448" xr:uid="{00000000-0005-0000-0000-0000BF010000}"/>
    <cellStyle name="Akcent 5 7" xfId="449" xr:uid="{00000000-0005-0000-0000-0000C0010000}"/>
    <cellStyle name="Akcent 5 8" xfId="450" xr:uid="{00000000-0005-0000-0000-0000C1010000}"/>
    <cellStyle name="Akcent 5 9" xfId="451" xr:uid="{00000000-0005-0000-0000-0000C2010000}"/>
    <cellStyle name="Akcent 5 9 2" xfId="452" xr:uid="{00000000-0005-0000-0000-0000C3010000}"/>
    <cellStyle name="Akcent 5 9 3" xfId="453" xr:uid="{00000000-0005-0000-0000-0000C4010000}"/>
    <cellStyle name="Akcent 6 10" xfId="454" xr:uid="{00000000-0005-0000-0000-0000C5010000}"/>
    <cellStyle name="Akcent 6 10 2" xfId="455" xr:uid="{00000000-0005-0000-0000-0000C6010000}"/>
    <cellStyle name="Akcent 6 10 3" xfId="456" xr:uid="{00000000-0005-0000-0000-0000C7010000}"/>
    <cellStyle name="Akcent 6 11" xfId="457" xr:uid="{00000000-0005-0000-0000-0000C8010000}"/>
    <cellStyle name="Akcent 6 12" xfId="458" xr:uid="{00000000-0005-0000-0000-0000C9010000}"/>
    <cellStyle name="Akcent 6 2" xfId="459" xr:uid="{00000000-0005-0000-0000-0000CA010000}"/>
    <cellStyle name="Akcent 6 3" xfId="460" xr:uid="{00000000-0005-0000-0000-0000CB010000}"/>
    <cellStyle name="Akcent 6 4" xfId="461" xr:uid="{00000000-0005-0000-0000-0000CC010000}"/>
    <cellStyle name="Akcent 6 5" xfId="462" xr:uid="{00000000-0005-0000-0000-0000CD010000}"/>
    <cellStyle name="Akcent 6 6" xfId="463" xr:uid="{00000000-0005-0000-0000-0000CE010000}"/>
    <cellStyle name="Akcent 6 7" xfId="464" xr:uid="{00000000-0005-0000-0000-0000CF010000}"/>
    <cellStyle name="Akcent 6 8" xfId="465" xr:uid="{00000000-0005-0000-0000-0000D0010000}"/>
    <cellStyle name="Akcent 6 9" xfId="466" xr:uid="{00000000-0005-0000-0000-0000D1010000}"/>
    <cellStyle name="Akcent 6 9 2" xfId="467" xr:uid="{00000000-0005-0000-0000-0000D2010000}"/>
    <cellStyle name="Akcent 6 9 3" xfId="468" xr:uid="{00000000-0005-0000-0000-0000D3010000}"/>
    <cellStyle name="Akzent1 2" xfId="469" xr:uid="{00000000-0005-0000-0000-0000D4010000}"/>
    <cellStyle name="Akzent2 2" xfId="470" xr:uid="{00000000-0005-0000-0000-0000D5010000}"/>
    <cellStyle name="Akzent3 2" xfId="471" xr:uid="{00000000-0005-0000-0000-0000D6010000}"/>
    <cellStyle name="Akzent4 2" xfId="472" xr:uid="{00000000-0005-0000-0000-0000D7010000}"/>
    <cellStyle name="Akzent5 2" xfId="473" xr:uid="{00000000-0005-0000-0000-0000D8010000}"/>
    <cellStyle name="Akzent6 2" xfId="474" xr:uid="{00000000-0005-0000-0000-0000D9010000}"/>
    <cellStyle name="Ausgabe 2" xfId="475" xr:uid="{00000000-0005-0000-0000-0000DA010000}"/>
    <cellStyle name="Bad 2" xfId="476" xr:uid="{00000000-0005-0000-0000-0000DB010000}"/>
    <cellStyle name="Bad 3" xfId="477" xr:uid="{00000000-0005-0000-0000-0000DC010000}"/>
    <cellStyle name="Berechnung 2" xfId="478" xr:uid="{00000000-0005-0000-0000-0000DD010000}"/>
    <cellStyle name="Calculation 2" xfId="479" xr:uid="{00000000-0005-0000-0000-0000DE010000}"/>
    <cellStyle name="Calculation 3" xfId="480" xr:uid="{00000000-0005-0000-0000-0000DF010000}"/>
    <cellStyle name="Check Cell 2" xfId="481" xr:uid="{00000000-0005-0000-0000-0000E0010000}"/>
    <cellStyle name="Check Cell 3" xfId="482" xr:uid="{00000000-0005-0000-0000-0000E1010000}"/>
    <cellStyle name="ColLevel_" xfId="483" xr:uid="{00000000-0005-0000-0000-0000E2010000}"/>
    <cellStyle name="Comma0" xfId="484" xr:uid="{00000000-0005-0000-0000-0000E3010000}"/>
    <cellStyle name="Comma0 - Style1" xfId="485" xr:uid="{00000000-0005-0000-0000-0000E4010000}"/>
    <cellStyle name="Comma0 - Style2" xfId="486" xr:uid="{00000000-0005-0000-0000-0000E5010000}"/>
    <cellStyle name="Comma0_Input" xfId="487" xr:uid="{00000000-0005-0000-0000-0000E6010000}"/>
    <cellStyle name="Currency0" xfId="488" xr:uid="{00000000-0005-0000-0000-0000E7010000}"/>
    <cellStyle name="Dane wejściowe" xfId="489" xr:uid="{00000000-0005-0000-0000-0000E8010000}"/>
    <cellStyle name="Dane wejściowe 10" xfId="490" xr:uid="{00000000-0005-0000-0000-0000E9010000}"/>
    <cellStyle name="Dane wejściowe 10 2" xfId="491" xr:uid="{00000000-0005-0000-0000-0000EA010000}"/>
    <cellStyle name="Dane wejściowe 10 3" xfId="492" xr:uid="{00000000-0005-0000-0000-0000EB010000}"/>
    <cellStyle name="Dane wejściowe 11" xfId="493" xr:uid="{00000000-0005-0000-0000-0000EC010000}"/>
    <cellStyle name="Dane wejściowe 12" xfId="494" xr:uid="{00000000-0005-0000-0000-0000ED010000}"/>
    <cellStyle name="Dane wejściowe 2" xfId="495" xr:uid="{00000000-0005-0000-0000-0000EE010000}"/>
    <cellStyle name="Dane wejściowe 3" xfId="496" xr:uid="{00000000-0005-0000-0000-0000EF010000}"/>
    <cellStyle name="Dane wejściowe 4" xfId="497" xr:uid="{00000000-0005-0000-0000-0000F0010000}"/>
    <cellStyle name="Dane wejściowe 5" xfId="498" xr:uid="{00000000-0005-0000-0000-0000F1010000}"/>
    <cellStyle name="Dane wejściowe 6" xfId="499" xr:uid="{00000000-0005-0000-0000-0000F2010000}"/>
    <cellStyle name="Dane wejściowe 7" xfId="500" xr:uid="{00000000-0005-0000-0000-0000F3010000}"/>
    <cellStyle name="Dane wejściowe 8" xfId="501" xr:uid="{00000000-0005-0000-0000-0000F4010000}"/>
    <cellStyle name="Dane wejściowe 9" xfId="502" xr:uid="{00000000-0005-0000-0000-0000F5010000}"/>
    <cellStyle name="Dane wejściowe 9 2" xfId="503" xr:uid="{00000000-0005-0000-0000-0000F6010000}"/>
    <cellStyle name="Dane wejściowe 9 3" xfId="504" xr:uid="{00000000-0005-0000-0000-0000F7010000}"/>
    <cellStyle name="Dane wejściowe_D_HEAT" xfId="505" xr:uid="{00000000-0005-0000-0000-0000F8010000}"/>
    <cellStyle name="Dane wyjściowe" xfId="506" xr:uid="{00000000-0005-0000-0000-0000F9010000}"/>
    <cellStyle name="Dane wyjściowe 10" xfId="507" xr:uid="{00000000-0005-0000-0000-0000FA010000}"/>
    <cellStyle name="Dane wyjściowe 10 2" xfId="508" xr:uid="{00000000-0005-0000-0000-0000FB010000}"/>
    <cellStyle name="Dane wyjściowe 10 3" xfId="509" xr:uid="{00000000-0005-0000-0000-0000FC010000}"/>
    <cellStyle name="Dane wyjściowe 11" xfId="510" xr:uid="{00000000-0005-0000-0000-0000FD010000}"/>
    <cellStyle name="Dane wyjściowe 12" xfId="511" xr:uid="{00000000-0005-0000-0000-0000FE010000}"/>
    <cellStyle name="Dane wyjściowe 2" xfId="512" xr:uid="{00000000-0005-0000-0000-0000FF010000}"/>
    <cellStyle name="Dane wyjściowe 3" xfId="513" xr:uid="{00000000-0005-0000-0000-000000020000}"/>
    <cellStyle name="Dane wyjściowe 4" xfId="514" xr:uid="{00000000-0005-0000-0000-000001020000}"/>
    <cellStyle name="Dane wyjściowe 5" xfId="515" xr:uid="{00000000-0005-0000-0000-000002020000}"/>
    <cellStyle name="Dane wyjściowe 6" xfId="516" xr:uid="{00000000-0005-0000-0000-000003020000}"/>
    <cellStyle name="Dane wyjściowe 7" xfId="517" xr:uid="{00000000-0005-0000-0000-000004020000}"/>
    <cellStyle name="Dane wyjściowe 8" xfId="518" xr:uid="{00000000-0005-0000-0000-000005020000}"/>
    <cellStyle name="Dane wyjściowe 9" xfId="519" xr:uid="{00000000-0005-0000-0000-000006020000}"/>
    <cellStyle name="Dane wyjściowe 9 2" xfId="520" xr:uid="{00000000-0005-0000-0000-000007020000}"/>
    <cellStyle name="Dane wyjściowe 9 3" xfId="521" xr:uid="{00000000-0005-0000-0000-000008020000}"/>
    <cellStyle name="Dane wyjściowe_D_HEAT" xfId="522" xr:uid="{00000000-0005-0000-0000-000009020000}"/>
    <cellStyle name="Date" xfId="523" xr:uid="{00000000-0005-0000-0000-00000A020000}"/>
    <cellStyle name="DateTime" xfId="524" xr:uid="{00000000-0005-0000-0000-00000B020000}"/>
    <cellStyle name="Dezimal [0] 2" xfId="525" xr:uid="{00000000-0005-0000-0000-00000C020000}"/>
    <cellStyle name="Dezimal [0] 2 2" xfId="526" xr:uid="{00000000-0005-0000-0000-00000D020000}"/>
    <cellStyle name="Dezimal 2" xfId="527" xr:uid="{00000000-0005-0000-0000-00000E020000}"/>
    <cellStyle name="Dezimal 3" xfId="528" xr:uid="{00000000-0005-0000-0000-00000F020000}"/>
    <cellStyle name="Dezimal 3 2" xfId="529" xr:uid="{00000000-0005-0000-0000-000010020000}"/>
    <cellStyle name="Dezimal_Results_Pan_EU_OLGA_NUC" xfId="530" xr:uid="{00000000-0005-0000-0000-000011020000}"/>
    <cellStyle name="Dobre" xfId="531" xr:uid="{00000000-0005-0000-0000-000012020000}"/>
    <cellStyle name="Dobre 10" xfId="532" xr:uid="{00000000-0005-0000-0000-000013020000}"/>
    <cellStyle name="Dobre 10 2" xfId="533" xr:uid="{00000000-0005-0000-0000-000014020000}"/>
    <cellStyle name="Dobre 10 3" xfId="534" xr:uid="{00000000-0005-0000-0000-000015020000}"/>
    <cellStyle name="Dobre 11" xfId="535" xr:uid="{00000000-0005-0000-0000-000016020000}"/>
    <cellStyle name="Dobre 12" xfId="536" xr:uid="{00000000-0005-0000-0000-000017020000}"/>
    <cellStyle name="Dobre 13" xfId="537" xr:uid="{00000000-0005-0000-0000-000018020000}"/>
    <cellStyle name="Dobre 2" xfId="538" xr:uid="{00000000-0005-0000-0000-000019020000}"/>
    <cellStyle name="Dobre 3" xfId="539" xr:uid="{00000000-0005-0000-0000-00001A020000}"/>
    <cellStyle name="Dobre 4" xfId="540" xr:uid="{00000000-0005-0000-0000-00001B020000}"/>
    <cellStyle name="Dobre 5" xfId="541" xr:uid="{00000000-0005-0000-0000-00001C020000}"/>
    <cellStyle name="Dobre 6" xfId="542" xr:uid="{00000000-0005-0000-0000-00001D020000}"/>
    <cellStyle name="Dobre 7" xfId="543" xr:uid="{00000000-0005-0000-0000-00001E020000}"/>
    <cellStyle name="Dobre 8" xfId="544" xr:uid="{00000000-0005-0000-0000-00001F020000}"/>
    <cellStyle name="Dobre 9" xfId="545" xr:uid="{00000000-0005-0000-0000-000020020000}"/>
    <cellStyle name="Dobre 9 2" xfId="546" xr:uid="{00000000-0005-0000-0000-000021020000}"/>
    <cellStyle name="Dobre 9 3" xfId="547" xr:uid="{00000000-0005-0000-0000-000022020000}"/>
    <cellStyle name="Dobre_D_HEAT" xfId="548" xr:uid="{00000000-0005-0000-0000-000023020000}"/>
    <cellStyle name="Eingabe 2" xfId="549" xr:uid="{00000000-0005-0000-0000-000024020000}"/>
    <cellStyle name="Ergebnis 2" xfId="550" xr:uid="{00000000-0005-0000-0000-000025020000}"/>
    <cellStyle name="Erklärender Text 2" xfId="551" xr:uid="{00000000-0005-0000-0000-000026020000}"/>
    <cellStyle name="Euro" xfId="552" xr:uid="{00000000-0005-0000-0000-000027020000}"/>
    <cellStyle name="Euro 2" xfId="553" xr:uid="{00000000-0005-0000-0000-000028020000}"/>
    <cellStyle name="Euro 2 2" xfId="554" xr:uid="{00000000-0005-0000-0000-000029020000}"/>
    <cellStyle name="Euro 2 3" xfId="555" xr:uid="{00000000-0005-0000-0000-00002A020000}"/>
    <cellStyle name="Euro 3" xfId="556" xr:uid="{00000000-0005-0000-0000-00002B020000}"/>
    <cellStyle name="Euro 3 2" xfId="557" xr:uid="{00000000-0005-0000-0000-00002C020000}"/>
    <cellStyle name="Euro 3 3" xfId="558" xr:uid="{00000000-0005-0000-0000-00002D020000}"/>
    <cellStyle name="Euro 4" xfId="559" xr:uid="{00000000-0005-0000-0000-00002E020000}"/>
    <cellStyle name="Euro_Sheet4" xfId="560" xr:uid="{00000000-0005-0000-0000-00002F020000}"/>
    <cellStyle name="Explanatory Text 2" xfId="561" xr:uid="{00000000-0005-0000-0000-000030020000}"/>
    <cellStyle name="Explanatory Text 3" xfId="562" xr:uid="{00000000-0005-0000-0000-000031020000}"/>
    <cellStyle name="Fixed" xfId="563" xr:uid="{00000000-0005-0000-0000-000032020000}"/>
    <cellStyle name="Fixed1 - Style1" xfId="564" xr:uid="{00000000-0005-0000-0000-000033020000}"/>
    <cellStyle name="Good 2" xfId="565" xr:uid="{00000000-0005-0000-0000-000034020000}"/>
    <cellStyle name="Good 3" xfId="566" xr:uid="{00000000-0005-0000-0000-000035020000}"/>
    <cellStyle name="Grey" xfId="567" xr:uid="{00000000-0005-0000-0000-000036020000}"/>
    <cellStyle name="Gut 2" xfId="568" xr:uid="{00000000-0005-0000-0000-000037020000}"/>
    <cellStyle name="HEADER" xfId="569" xr:uid="{00000000-0005-0000-0000-000038020000}"/>
    <cellStyle name="Heading 1 10" xfId="570" xr:uid="{00000000-0005-0000-0000-000039020000}"/>
    <cellStyle name="Heading 1 11" xfId="571" xr:uid="{00000000-0005-0000-0000-00003A020000}"/>
    <cellStyle name="Heading 1 12" xfId="572" xr:uid="{00000000-0005-0000-0000-00003B020000}"/>
    <cellStyle name="Heading 1 13" xfId="573" xr:uid="{00000000-0005-0000-0000-00003C020000}"/>
    <cellStyle name="Heading 1 14" xfId="574" xr:uid="{00000000-0005-0000-0000-00003D020000}"/>
    <cellStyle name="Heading 1 15" xfId="575" xr:uid="{00000000-0005-0000-0000-00003E020000}"/>
    <cellStyle name="Heading 1 16" xfId="576" xr:uid="{00000000-0005-0000-0000-00003F020000}"/>
    <cellStyle name="Heading 1 17" xfId="577" xr:uid="{00000000-0005-0000-0000-000040020000}"/>
    <cellStyle name="Heading 1 18" xfId="578" xr:uid="{00000000-0005-0000-0000-000041020000}"/>
    <cellStyle name="Heading 1 19" xfId="579" xr:uid="{00000000-0005-0000-0000-000042020000}"/>
    <cellStyle name="Heading 1 2" xfId="580" xr:uid="{00000000-0005-0000-0000-000043020000}"/>
    <cellStyle name="Heading 1 2 2" xfId="581" xr:uid="{00000000-0005-0000-0000-000044020000}"/>
    <cellStyle name="Heading 1 20" xfId="582" xr:uid="{00000000-0005-0000-0000-000045020000}"/>
    <cellStyle name="Heading 1 3" xfId="583" xr:uid="{00000000-0005-0000-0000-000046020000}"/>
    <cellStyle name="Heading 1 4" xfId="584" xr:uid="{00000000-0005-0000-0000-000047020000}"/>
    <cellStyle name="Heading 1 5" xfId="585" xr:uid="{00000000-0005-0000-0000-000048020000}"/>
    <cellStyle name="Heading 1 6" xfId="586" xr:uid="{00000000-0005-0000-0000-000049020000}"/>
    <cellStyle name="Heading 1 7" xfId="587" xr:uid="{00000000-0005-0000-0000-00004A020000}"/>
    <cellStyle name="Heading 1 8" xfId="588" xr:uid="{00000000-0005-0000-0000-00004B020000}"/>
    <cellStyle name="Heading 1 9" xfId="589" xr:uid="{00000000-0005-0000-0000-00004C020000}"/>
    <cellStyle name="Heading 2 10" xfId="590" xr:uid="{00000000-0005-0000-0000-00004D020000}"/>
    <cellStyle name="Heading 2 11" xfId="591" xr:uid="{00000000-0005-0000-0000-00004E020000}"/>
    <cellStyle name="Heading 2 12" xfId="592" xr:uid="{00000000-0005-0000-0000-00004F020000}"/>
    <cellStyle name="Heading 2 13" xfId="593" xr:uid="{00000000-0005-0000-0000-000050020000}"/>
    <cellStyle name="Heading 2 14" xfId="594" xr:uid="{00000000-0005-0000-0000-000051020000}"/>
    <cellStyle name="Heading 2 15" xfId="595" xr:uid="{00000000-0005-0000-0000-000052020000}"/>
    <cellStyle name="Heading 2 16" xfId="596" xr:uid="{00000000-0005-0000-0000-000053020000}"/>
    <cellStyle name="Heading 2 17" xfId="597" xr:uid="{00000000-0005-0000-0000-000054020000}"/>
    <cellStyle name="Heading 2 18" xfId="598" xr:uid="{00000000-0005-0000-0000-000055020000}"/>
    <cellStyle name="Heading 2 19" xfId="599" xr:uid="{00000000-0005-0000-0000-000056020000}"/>
    <cellStyle name="Heading 2 2" xfId="600" xr:uid="{00000000-0005-0000-0000-000057020000}"/>
    <cellStyle name="Heading 2 2 2" xfId="601" xr:uid="{00000000-0005-0000-0000-000058020000}"/>
    <cellStyle name="Heading 2 20" xfId="602" xr:uid="{00000000-0005-0000-0000-000059020000}"/>
    <cellStyle name="Heading 2 3" xfId="603" xr:uid="{00000000-0005-0000-0000-00005A020000}"/>
    <cellStyle name="Heading 2 4" xfId="604" xr:uid="{00000000-0005-0000-0000-00005B020000}"/>
    <cellStyle name="Heading 2 5" xfId="605" xr:uid="{00000000-0005-0000-0000-00005C020000}"/>
    <cellStyle name="Heading 2 6" xfId="606" xr:uid="{00000000-0005-0000-0000-00005D020000}"/>
    <cellStyle name="Heading 2 7" xfId="607" xr:uid="{00000000-0005-0000-0000-00005E020000}"/>
    <cellStyle name="Heading 2 8" xfId="608" xr:uid="{00000000-0005-0000-0000-00005F020000}"/>
    <cellStyle name="Heading 2 9" xfId="609" xr:uid="{00000000-0005-0000-0000-000060020000}"/>
    <cellStyle name="Heading 3 2" xfId="610" xr:uid="{00000000-0005-0000-0000-000061020000}"/>
    <cellStyle name="Heading 3 3" xfId="611" xr:uid="{00000000-0005-0000-0000-000062020000}"/>
    <cellStyle name="Heading 4 2" xfId="612" xr:uid="{00000000-0005-0000-0000-000063020000}"/>
    <cellStyle name="Heading 4 3" xfId="613" xr:uid="{00000000-0005-0000-0000-000064020000}"/>
    <cellStyle name="Heading1" xfId="614" xr:uid="{00000000-0005-0000-0000-000065020000}"/>
    <cellStyle name="Heading2" xfId="615" xr:uid="{00000000-0005-0000-0000-000066020000}"/>
    <cellStyle name="Headline" xfId="616" xr:uid="{00000000-0005-0000-0000-000067020000}"/>
    <cellStyle name="HIGHLIGHT" xfId="617" xr:uid="{00000000-0005-0000-0000-000068020000}"/>
    <cellStyle name="Hiperłącze 2" xfId="618" xr:uid="{00000000-0005-0000-0000-000069020000}"/>
    <cellStyle name="Hiperłącze 2 2" xfId="619" xr:uid="{00000000-0005-0000-0000-00006A020000}"/>
    <cellStyle name="Hiperłącze 2 3" xfId="620" xr:uid="{00000000-0005-0000-0000-00006B020000}"/>
    <cellStyle name="Hyperlink 2" xfId="621" xr:uid="{00000000-0005-0000-0000-00006C020000}"/>
    <cellStyle name="Hyperlink 3" xfId="622" xr:uid="{00000000-0005-0000-0000-00006D020000}"/>
    <cellStyle name="Hyperlink 3 2" xfId="623" xr:uid="{00000000-0005-0000-0000-00006E020000}"/>
    <cellStyle name="Hyperlink 3 3" xfId="624" xr:uid="{00000000-0005-0000-0000-00006F020000}"/>
    <cellStyle name="Hyperlink 4" xfId="625" xr:uid="{00000000-0005-0000-0000-000070020000}"/>
    <cellStyle name="Input [yellow]" xfId="626" xr:uid="{00000000-0005-0000-0000-000071020000}"/>
    <cellStyle name="Input 10" xfId="627" xr:uid="{00000000-0005-0000-0000-000072020000}"/>
    <cellStyle name="Input 11" xfId="628" xr:uid="{00000000-0005-0000-0000-000073020000}"/>
    <cellStyle name="Input 12" xfId="629" xr:uid="{00000000-0005-0000-0000-000074020000}"/>
    <cellStyle name="Input 13" xfId="630" xr:uid="{00000000-0005-0000-0000-000075020000}"/>
    <cellStyle name="Input 14" xfId="631" xr:uid="{00000000-0005-0000-0000-000076020000}"/>
    <cellStyle name="Input 15" xfId="632" xr:uid="{00000000-0005-0000-0000-000077020000}"/>
    <cellStyle name="Input 16" xfId="633" xr:uid="{00000000-0005-0000-0000-000078020000}"/>
    <cellStyle name="Input 17" xfId="634" xr:uid="{00000000-0005-0000-0000-000079020000}"/>
    <cellStyle name="Input 18" xfId="635" xr:uid="{00000000-0005-0000-0000-00007A020000}"/>
    <cellStyle name="Input 19" xfId="636" xr:uid="{00000000-0005-0000-0000-00007B020000}"/>
    <cellStyle name="Input 2" xfId="637" xr:uid="{00000000-0005-0000-0000-00007C020000}"/>
    <cellStyle name="Input 20" xfId="638" xr:uid="{00000000-0005-0000-0000-00007D020000}"/>
    <cellStyle name="Input 21" xfId="639" xr:uid="{00000000-0005-0000-0000-00007E020000}"/>
    <cellStyle name="Input 22" xfId="640" xr:uid="{00000000-0005-0000-0000-00007F020000}"/>
    <cellStyle name="Input 23" xfId="641" xr:uid="{00000000-0005-0000-0000-000080020000}"/>
    <cellStyle name="Input 24" xfId="642" xr:uid="{00000000-0005-0000-0000-000081020000}"/>
    <cellStyle name="Input 25" xfId="643" xr:uid="{00000000-0005-0000-0000-000082020000}"/>
    <cellStyle name="Input 26" xfId="644" xr:uid="{00000000-0005-0000-0000-000083020000}"/>
    <cellStyle name="Input 27" xfId="645" xr:uid="{00000000-0005-0000-0000-000084020000}"/>
    <cellStyle name="Input 28" xfId="646" xr:uid="{00000000-0005-0000-0000-000085020000}"/>
    <cellStyle name="Input 29" xfId="647" xr:uid="{00000000-0005-0000-0000-000086020000}"/>
    <cellStyle name="Input 3" xfId="648" xr:uid="{00000000-0005-0000-0000-000087020000}"/>
    <cellStyle name="Input 30" xfId="649" xr:uid="{00000000-0005-0000-0000-000088020000}"/>
    <cellStyle name="Input 31" xfId="650" xr:uid="{00000000-0005-0000-0000-000089020000}"/>
    <cellStyle name="Input 32" xfId="651" xr:uid="{00000000-0005-0000-0000-00008A020000}"/>
    <cellStyle name="Input 33" xfId="652" xr:uid="{00000000-0005-0000-0000-00008B020000}"/>
    <cellStyle name="Input 34" xfId="653" xr:uid="{00000000-0005-0000-0000-00008C020000}"/>
    <cellStyle name="Input 35" xfId="654" xr:uid="{00000000-0005-0000-0000-00008D020000}"/>
    <cellStyle name="Input 36" xfId="655" xr:uid="{00000000-0005-0000-0000-00008E020000}"/>
    <cellStyle name="Input 37" xfId="656" xr:uid="{00000000-0005-0000-0000-00008F020000}"/>
    <cellStyle name="Input 38" xfId="657" xr:uid="{00000000-0005-0000-0000-000090020000}"/>
    <cellStyle name="Input 39" xfId="658" xr:uid="{00000000-0005-0000-0000-000091020000}"/>
    <cellStyle name="Input 4" xfId="659" xr:uid="{00000000-0005-0000-0000-000092020000}"/>
    <cellStyle name="Input 40" xfId="660" xr:uid="{00000000-0005-0000-0000-000093020000}"/>
    <cellStyle name="Input 41" xfId="661" xr:uid="{00000000-0005-0000-0000-000094020000}"/>
    <cellStyle name="Input 42" xfId="662" xr:uid="{00000000-0005-0000-0000-000095020000}"/>
    <cellStyle name="Input 43" xfId="663" xr:uid="{00000000-0005-0000-0000-000096020000}"/>
    <cellStyle name="Input 44" xfId="664" xr:uid="{00000000-0005-0000-0000-000097020000}"/>
    <cellStyle name="Input 5" xfId="665" xr:uid="{00000000-0005-0000-0000-000098020000}"/>
    <cellStyle name="Input 6" xfId="666" xr:uid="{00000000-0005-0000-0000-000099020000}"/>
    <cellStyle name="Input 7" xfId="667" xr:uid="{00000000-0005-0000-0000-00009A020000}"/>
    <cellStyle name="Input 8" xfId="668" xr:uid="{00000000-0005-0000-0000-00009B020000}"/>
    <cellStyle name="Input 9" xfId="669" xr:uid="{00000000-0005-0000-0000-00009C020000}"/>
    <cellStyle name="InputCells" xfId="670" xr:uid="{00000000-0005-0000-0000-00009D020000}"/>
    <cellStyle name="InputCells12_BBorder_CRFReport-template" xfId="671" xr:uid="{00000000-0005-0000-0000-00009E020000}"/>
    <cellStyle name="Komma 2" xfId="672" xr:uid="{00000000-0005-0000-0000-00009F020000}"/>
    <cellStyle name="Komma 3" xfId="673" xr:uid="{00000000-0005-0000-0000-0000A0020000}"/>
    <cellStyle name="Komma 4" xfId="674" xr:uid="{00000000-0005-0000-0000-0000A1020000}"/>
    <cellStyle name="Komórka połączona" xfId="675" xr:uid="{00000000-0005-0000-0000-0000A2020000}"/>
    <cellStyle name="Komórka połączona 10" xfId="676" xr:uid="{00000000-0005-0000-0000-0000A3020000}"/>
    <cellStyle name="Komórka połączona 10 2" xfId="677" xr:uid="{00000000-0005-0000-0000-0000A4020000}"/>
    <cellStyle name="Komórka połączona 10 3" xfId="678" xr:uid="{00000000-0005-0000-0000-0000A5020000}"/>
    <cellStyle name="Komórka połączona 11" xfId="679" xr:uid="{00000000-0005-0000-0000-0000A6020000}"/>
    <cellStyle name="Komórka połączona 12" xfId="680" xr:uid="{00000000-0005-0000-0000-0000A7020000}"/>
    <cellStyle name="Komórka połączona 2" xfId="681" xr:uid="{00000000-0005-0000-0000-0000A8020000}"/>
    <cellStyle name="Komórka połączona 3" xfId="682" xr:uid="{00000000-0005-0000-0000-0000A9020000}"/>
    <cellStyle name="Komórka połączona 4" xfId="683" xr:uid="{00000000-0005-0000-0000-0000AA020000}"/>
    <cellStyle name="Komórka połączona 5" xfId="684" xr:uid="{00000000-0005-0000-0000-0000AB020000}"/>
    <cellStyle name="Komórka połączona 6" xfId="685" xr:uid="{00000000-0005-0000-0000-0000AC020000}"/>
    <cellStyle name="Komórka połączona 7" xfId="686" xr:uid="{00000000-0005-0000-0000-0000AD020000}"/>
    <cellStyle name="Komórka połączona 8" xfId="687" xr:uid="{00000000-0005-0000-0000-0000AE020000}"/>
    <cellStyle name="Komórka połączona 9" xfId="688" xr:uid="{00000000-0005-0000-0000-0000AF020000}"/>
    <cellStyle name="Komórka połączona 9 2" xfId="689" xr:uid="{00000000-0005-0000-0000-0000B0020000}"/>
    <cellStyle name="Komórka połączona 9 3" xfId="690" xr:uid="{00000000-0005-0000-0000-0000B1020000}"/>
    <cellStyle name="Komórka połączona_D_HEAT" xfId="691" xr:uid="{00000000-0005-0000-0000-0000B2020000}"/>
    <cellStyle name="Komórka zaznaczona 10" xfId="692" xr:uid="{00000000-0005-0000-0000-0000B3020000}"/>
    <cellStyle name="Komórka zaznaczona 10 2" xfId="693" xr:uid="{00000000-0005-0000-0000-0000B4020000}"/>
    <cellStyle name="Komórka zaznaczona 10 3" xfId="694" xr:uid="{00000000-0005-0000-0000-0000B5020000}"/>
    <cellStyle name="Komórka zaznaczona 11" xfId="695" xr:uid="{00000000-0005-0000-0000-0000B6020000}"/>
    <cellStyle name="Komórka zaznaczona 12" xfId="696" xr:uid="{00000000-0005-0000-0000-0000B7020000}"/>
    <cellStyle name="Komórka zaznaczona 2" xfId="697" xr:uid="{00000000-0005-0000-0000-0000B8020000}"/>
    <cellStyle name="Komórka zaznaczona 3" xfId="698" xr:uid="{00000000-0005-0000-0000-0000B9020000}"/>
    <cellStyle name="Komórka zaznaczona 4" xfId="699" xr:uid="{00000000-0005-0000-0000-0000BA020000}"/>
    <cellStyle name="Komórka zaznaczona 5" xfId="700" xr:uid="{00000000-0005-0000-0000-0000BB020000}"/>
    <cellStyle name="Komórka zaznaczona 6" xfId="701" xr:uid="{00000000-0005-0000-0000-0000BC020000}"/>
    <cellStyle name="Komórka zaznaczona 7" xfId="702" xr:uid="{00000000-0005-0000-0000-0000BD020000}"/>
    <cellStyle name="Komórka zaznaczona 8" xfId="703" xr:uid="{00000000-0005-0000-0000-0000BE020000}"/>
    <cellStyle name="Komórka zaznaczona 9" xfId="704" xr:uid="{00000000-0005-0000-0000-0000BF020000}"/>
    <cellStyle name="Komórka zaznaczona 9 2" xfId="705" xr:uid="{00000000-0005-0000-0000-0000C0020000}"/>
    <cellStyle name="Komórka zaznaczona 9 3" xfId="706" xr:uid="{00000000-0005-0000-0000-0000C1020000}"/>
    <cellStyle name="Linked Cell 2" xfId="707" xr:uid="{00000000-0005-0000-0000-0000C2020000}"/>
    <cellStyle name="Linked Cell 3" xfId="708" xr:uid="{00000000-0005-0000-0000-0000C3020000}"/>
    <cellStyle name="Nagłówek 1 10" xfId="709" xr:uid="{00000000-0005-0000-0000-0000C4020000}"/>
    <cellStyle name="Nagłówek 1 10 2" xfId="710" xr:uid="{00000000-0005-0000-0000-0000C5020000}"/>
    <cellStyle name="Nagłówek 1 10 3" xfId="711" xr:uid="{00000000-0005-0000-0000-0000C6020000}"/>
    <cellStyle name="Nagłówek 1 11" xfId="712" xr:uid="{00000000-0005-0000-0000-0000C7020000}"/>
    <cellStyle name="Nagłówek 1 12" xfId="713" xr:uid="{00000000-0005-0000-0000-0000C8020000}"/>
    <cellStyle name="Nagłówek 1 2" xfId="714" xr:uid="{00000000-0005-0000-0000-0000C9020000}"/>
    <cellStyle name="Nagłówek 1 3" xfId="715" xr:uid="{00000000-0005-0000-0000-0000CA020000}"/>
    <cellStyle name="Nagłówek 1 4" xfId="716" xr:uid="{00000000-0005-0000-0000-0000CB020000}"/>
    <cellStyle name="Nagłówek 1 5" xfId="717" xr:uid="{00000000-0005-0000-0000-0000CC020000}"/>
    <cellStyle name="Nagłówek 1 6" xfId="718" xr:uid="{00000000-0005-0000-0000-0000CD020000}"/>
    <cellStyle name="Nagłówek 1 7" xfId="719" xr:uid="{00000000-0005-0000-0000-0000CE020000}"/>
    <cellStyle name="Nagłówek 1 8" xfId="720" xr:uid="{00000000-0005-0000-0000-0000CF020000}"/>
    <cellStyle name="Nagłówek 1 9" xfId="721" xr:uid="{00000000-0005-0000-0000-0000D0020000}"/>
    <cellStyle name="Nagłówek 1 9 2" xfId="722" xr:uid="{00000000-0005-0000-0000-0000D1020000}"/>
    <cellStyle name="Nagłówek 1 9 3" xfId="723" xr:uid="{00000000-0005-0000-0000-0000D2020000}"/>
    <cellStyle name="Nagłówek 2 10" xfId="724" xr:uid="{00000000-0005-0000-0000-0000D3020000}"/>
    <cellStyle name="Nagłówek 2 10 2" xfId="725" xr:uid="{00000000-0005-0000-0000-0000D4020000}"/>
    <cellStyle name="Nagłówek 2 10 3" xfId="726" xr:uid="{00000000-0005-0000-0000-0000D5020000}"/>
    <cellStyle name="Nagłówek 2 11" xfId="727" xr:uid="{00000000-0005-0000-0000-0000D6020000}"/>
    <cellStyle name="Nagłówek 2 12" xfId="728" xr:uid="{00000000-0005-0000-0000-0000D7020000}"/>
    <cellStyle name="Nagłówek 2 2" xfId="729" xr:uid="{00000000-0005-0000-0000-0000D8020000}"/>
    <cellStyle name="Nagłówek 2 3" xfId="730" xr:uid="{00000000-0005-0000-0000-0000D9020000}"/>
    <cellStyle name="Nagłówek 2 4" xfId="731" xr:uid="{00000000-0005-0000-0000-0000DA020000}"/>
    <cellStyle name="Nagłówek 2 5" xfId="732" xr:uid="{00000000-0005-0000-0000-0000DB020000}"/>
    <cellStyle name="Nagłówek 2 6" xfId="733" xr:uid="{00000000-0005-0000-0000-0000DC020000}"/>
    <cellStyle name="Nagłówek 2 7" xfId="734" xr:uid="{00000000-0005-0000-0000-0000DD020000}"/>
    <cellStyle name="Nagłówek 2 8" xfId="735" xr:uid="{00000000-0005-0000-0000-0000DE020000}"/>
    <cellStyle name="Nagłówek 2 9" xfId="736" xr:uid="{00000000-0005-0000-0000-0000DF020000}"/>
    <cellStyle name="Nagłówek 2 9 2" xfId="737" xr:uid="{00000000-0005-0000-0000-0000E0020000}"/>
    <cellStyle name="Nagłówek 2 9 3" xfId="738" xr:uid="{00000000-0005-0000-0000-0000E1020000}"/>
    <cellStyle name="Nagłówek 3 10" xfId="739" xr:uid="{00000000-0005-0000-0000-0000E2020000}"/>
    <cellStyle name="Nagłówek 3 10 2" xfId="740" xr:uid="{00000000-0005-0000-0000-0000E3020000}"/>
    <cellStyle name="Nagłówek 3 10 3" xfId="741" xr:uid="{00000000-0005-0000-0000-0000E4020000}"/>
    <cellStyle name="Nagłówek 3 11" xfId="742" xr:uid="{00000000-0005-0000-0000-0000E5020000}"/>
    <cellStyle name="Nagłówek 3 12" xfId="743" xr:uid="{00000000-0005-0000-0000-0000E6020000}"/>
    <cellStyle name="Nagłówek 3 2" xfId="744" xr:uid="{00000000-0005-0000-0000-0000E7020000}"/>
    <cellStyle name="Nagłówek 3 3" xfId="745" xr:uid="{00000000-0005-0000-0000-0000E8020000}"/>
    <cellStyle name="Nagłówek 3 4" xfId="746" xr:uid="{00000000-0005-0000-0000-0000E9020000}"/>
    <cellStyle name="Nagłówek 3 5" xfId="747" xr:uid="{00000000-0005-0000-0000-0000EA020000}"/>
    <cellStyle name="Nagłówek 3 6" xfId="748" xr:uid="{00000000-0005-0000-0000-0000EB020000}"/>
    <cellStyle name="Nagłówek 3 7" xfId="749" xr:uid="{00000000-0005-0000-0000-0000EC020000}"/>
    <cellStyle name="Nagłówek 3 8" xfId="750" xr:uid="{00000000-0005-0000-0000-0000ED020000}"/>
    <cellStyle name="Nagłówek 3 9" xfId="751" xr:uid="{00000000-0005-0000-0000-0000EE020000}"/>
    <cellStyle name="Nagłówek 3 9 2" xfId="752" xr:uid="{00000000-0005-0000-0000-0000EF020000}"/>
    <cellStyle name="Nagłówek 3 9 3" xfId="753" xr:uid="{00000000-0005-0000-0000-0000F0020000}"/>
    <cellStyle name="Nagłówek 4 10" xfId="754" xr:uid="{00000000-0005-0000-0000-0000F1020000}"/>
    <cellStyle name="Nagłówek 4 10 2" xfId="755" xr:uid="{00000000-0005-0000-0000-0000F2020000}"/>
    <cellStyle name="Nagłówek 4 10 3" xfId="756" xr:uid="{00000000-0005-0000-0000-0000F3020000}"/>
    <cellStyle name="Nagłówek 4 11" xfId="757" xr:uid="{00000000-0005-0000-0000-0000F4020000}"/>
    <cellStyle name="Nagłówek 4 12" xfId="758" xr:uid="{00000000-0005-0000-0000-0000F5020000}"/>
    <cellStyle name="Nagłówek 4 2" xfId="759" xr:uid="{00000000-0005-0000-0000-0000F6020000}"/>
    <cellStyle name="Nagłówek 4 3" xfId="760" xr:uid="{00000000-0005-0000-0000-0000F7020000}"/>
    <cellStyle name="Nagłówek 4 4" xfId="761" xr:uid="{00000000-0005-0000-0000-0000F8020000}"/>
    <cellStyle name="Nagłówek 4 5" xfId="762" xr:uid="{00000000-0005-0000-0000-0000F9020000}"/>
    <cellStyle name="Nagłówek 4 6" xfId="763" xr:uid="{00000000-0005-0000-0000-0000FA020000}"/>
    <cellStyle name="Nagłówek 4 7" xfId="764" xr:uid="{00000000-0005-0000-0000-0000FB020000}"/>
    <cellStyle name="Nagłówek 4 8" xfId="765" xr:uid="{00000000-0005-0000-0000-0000FC020000}"/>
    <cellStyle name="Nagłówek 4 9" xfId="766" xr:uid="{00000000-0005-0000-0000-0000FD020000}"/>
    <cellStyle name="Nagłówek 4 9 2" xfId="767" xr:uid="{00000000-0005-0000-0000-0000FE020000}"/>
    <cellStyle name="Nagłówek 4 9 3" xfId="768" xr:uid="{00000000-0005-0000-0000-0000FF020000}"/>
    <cellStyle name="Neutral 2" xfId="769" xr:uid="{00000000-0005-0000-0000-000000030000}"/>
    <cellStyle name="Neutral 3" xfId="770" xr:uid="{00000000-0005-0000-0000-000001030000}"/>
    <cellStyle name="Neutralne" xfId="771" xr:uid="{00000000-0005-0000-0000-000002030000}"/>
    <cellStyle name="Neutralne 10" xfId="772" xr:uid="{00000000-0005-0000-0000-000003030000}"/>
    <cellStyle name="Neutralne 10 2" xfId="773" xr:uid="{00000000-0005-0000-0000-000004030000}"/>
    <cellStyle name="Neutralne 10 3" xfId="774" xr:uid="{00000000-0005-0000-0000-000005030000}"/>
    <cellStyle name="Neutralne 11" xfId="775" xr:uid="{00000000-0005-0000-0000-000006030000}"/>
    <cellStyle name="Neutralne 12" xfId="776" xr:uid="{00000000-0005-0000-0000-000007030000}"/>
    <cellStyle name="Neutralne 13" xfId="777" xr:uid="{00000000-0005-0000-0000-000008030000}"/>
    <cellStyle name="Neutralne 2" xfId="778" xr:uid="{00000000-0005-0000-0000-000009030000}"/>
    <cellStyle name="Neutralne 3" xfId="779" xr:uid="{00000000-0005-0000-0000-00000A030000}"/>
    <cellStyle name="Neutralne 4" xfId="780" xr:uid="{00000000-0005-0000-0000-00000B030000}"/>
    <cellStyle name="Neutralne 5" xfId="781" xr:uid="{00000000-0005-0000-0000-00000C030000}"/>
    <cellStyle name="Neutralne 6" xfId="782" xr:uid="{00000000-0005-0000-0000-00000D030000}"/>
    <cellStyle name="Neutralne 7" xfId="783" xr:uid="{00000000-0005-0000-0000-00000E030000}"/>
    <cellStyle name="Neutralne 8" xfId="784" xr:uid="{00000000-0005-0000-0000-00000F030000}"/>
    <cellStyle name="Neutralne 9" xfId="785" xr:uid="{00000000-0005-0000-0000-000010030000}"/>
    <cellStyle name="Neutralne 9 2" xfId="786" xr:uid="{00000000-0005-0000-0000-000011030000}"/>
    <cellStyle name="Neutralne 9 3" xfId="787" xr:uid="{00000000-0005-0000-0000-000012030000}"/>
    <cellStyle name="Neutralne_D_HEAT" xfId="788" xr:uid="{00000000-0005-0000-0000-000013030000}"/>
    <cellStyle name="no dec" xfId="789" xr:uid="{00000000-0005-0000-0000-000014030000}"/>
    <cellStyle name="Normal - Style1" xfId="790" xr:uid="{00000000-0005-0000-0000-000015030000}"/>
    <cellStyle name="Normal 10" xfId="791" xr:uid="{00000000-0005-0000-0000-000016030000}"/>
    <cellStyle name="Normal 14" xfId="792" xr:uid="{00000000-0005-0000-0000-000017030000}"/>
    <cellStyle name="Normal 2" xfId="793" xr:uid="{00000000-0005-0000-0000-000018030000}"/>
    <cellStyle name="Normal 20" xfId="794" xr:uid="{00000000-0005-0000-0000-000019030000}"/>
    <cellStyle name="Normal 21" xfId="795" xr:uid="{00000000-0005-0000-0000-00001A030000}"/>
    <cellStyle name="Normal 3" xfId="796" xr:uid="{00000000-0005-0000-0000-00001B030000}"/>
    <cellStyle name="Normal 3 2" xfId="797" xr:uid="{00000000-0005-0000-0000-00001C030000}"/>
    <cellStyle name="Normal 3 3" xfId="798" xr:uid="{00000000-0005-0000-0000-00001D030000}"/>
    <cellStyle name="Normal 3 4" xfId="799" xr:uid="{00000000-0005-0000-0000-00001E030000}"/>
    <cellStyle name="Normal 4" xfId="800" xr:uid="{00000000-0005-0000-0000-00001F030000}"/>
    <cellStyle name="Normal 4 2" xfId="801" xr:uid="{00000000-0005-0000-0000-000020030000}"/>
    <cellStyle name="Normal 5" xfId="1244" xr:uid="{00000000-0005-0000-0000-000021030000}"/>
    <cellStyle name="Normal 5 2" xfId="802" xr:uid="{00000000-0005-0000-0000-000022030000}"/>
    <cellStyle name="Normal 6 2" xfId="803" xr:uid="{00000000-0005-0000-0000-000023030000}"/>
    <cellStyle name="Normal 7 2" xfId="804" xr:uid="{00000000-0005-0000-0000-000024030000}"/>
    <cellStyle name="Normal GHG Textfiels Bold" xfId="805" xr:uid="{00000000-0005-0000-0000-000025030000}"/>
    <cellStyle name="Normal GHG-Shade" xfId="806" xr:uid="{00000000-0005-0000-0000-000026030000}"/>
    <cellStyle name="Normal GHG-Shade 2" xfId="807" xr:uid="{00000000-0005-0000-0000-000027030000}"/>
    <cellStyle name="Normale_B2020" xfId="808" xr:uid="{00000000-0005-0000-0000-000028030000}"/>
    <cellStyle name="Normalny" xfId="0" builtinId="0"/>
    <cellStyle name="Normalny 10" xfId="809" xr:uid="{00000000-0005-0000-0000-00002A030000}"/>
    <cellStyle name="Normalny 10 2" xfId="810" xr:uid="{00000000-0005-0000-0000-00002B030000}"/>
    <cellStyle name="Normalny 10 2 2" xfId="811" xr:uid="{00000000-0005-0000-0000-00002C030000}"/>
    <cellStyle name="Normalny 10 2 3" xfId="812" xr:uid="{00000000-0005-0000-0000-00002D030000}"/>
    <cellStyle name="Normalny 10 2 4" xfId="813" xr:uid="{00000000-0005-0000-0000-00002E030000}"/>
    <cellStyle name="Normalny 10 3" xfId="814" xr:uid="{00000000-0005-0000-0000-00002F030000}"/>
    <cellStyle name="Normalny 10 3 2" xfId="815" xr:uid="{00000000-0005-0000-0000-000030030000}"/>
    <cellStyle name="Normalny 10 3 3" xfId="816" xr:uid="{00000000-0005-0000-0000-000031030000}"/>
    <cellStyle name="Normalny 10 4" xfId="817" xr:uid="{00000000-0005-0000-0000-000032030000}"/>
    <cellStyle name="Normalny 11" xfId="818" xr:uid="{00000000-0005-0000-0000-000033030000}"/>
    <cellStyle name="Normalny 11 2" xfId="819" xr:uid="{00000000-0005-0000-0000-000034030000}"/>
    <cellStyle name="Normalny 11 2 2" xfId="820" xr:uid="{00000000-0005-0000-0000-000035030000}"/>
    <cellStyle name="Normalny 11 2 3" xfId="821" xr:uid="{00000000-0005-0000-0000-000036030000}"/>
    <cellStyle name="Normalny 11 3" xfId="822" xr:uid="{00000000-0005-0000-0000-000037030000}"/>
    <cellStyle name="Normalny 11 3 2" xfId="823" xr:uid="{00000000-0005-0000-0000-000038030000}"/>
    <cellStyle name="Normalny 11 3 2 2" xfId="824" xr:uid="{00000000-0005-0000-0000-000039030000}"/>
    <cellStyle name="Normalny 11 3 2 3" xfId="825" xr:uid="{00000000-0005-0000-0000-00003A030000}"/>
    <cellStyle name="Normalny 11 3 3" xfId="826" xr:uid="{00000000-0005-0000-0000-00003B030000}"/>
    <cellStyle name="Normalny 11 4" xfId="827" xr:uid="{00000000-0005-0000-0000-00003C030000}"/>
    <cellStyle name="Normalny 11 4 2" xfId="828" xr:uid="{00000000-0005-0000-0000-00003D030000}"/>
    <cellStyle name="Normalny 11 4 3" xfId="829" xr:uid="{00000000-0005-0000-0000-00003E030000}"/>
    <cellStyle name="Normalny 11 5" xfId="830" xr:uid="{00000000-0005-0000-0000-00003F030000}"/>
    <cellStyle name="Normalny 11 5 2" xfId="831" xr:uid="{00000000-0005-0000-0000-000040030000}"/>
    <cellStyle name="Normalny 11 5 3" xfId="832" xr:uid="{00000000-0005-0000-0000-000041030000}"/>
    <cellStyle name="Normalny 11 6" xfId="833" xr:uid="{00000000-0005-0000-0000-000042030000}"/>
    <cellStyle name="Normalny 11 7" xfId="834" xr:uid="{00000000-0005-0000-0000-000043030000}"/>
    <cellStyle name="Normalny 12" xfId="835" xr:uid="{00000000-0005-0000-0000-000044030000}"/>
    <cellStyle name="Normalny 13" xfId="836" xr:uid="{00000000-0005-0000-0000-000045030000}"/>
    <cellStyle name="Normalny 13 10" xfId="837" xr:uid="{00000000-0005-0000-0000-000046030000}"/>
    <cellStyle name="Normalny 13 2" xfId="838" xr:uid="{00000000-0005-0000-0000-000047030000}"/>
    <cellStyle name="Normalny 13 2 2" xfId="839" xr:uid="{00000000-0005-0000-0000-000048030000}"/>
    <cellStyle name="Normalny 13 2 2 2" xfId="840" xr:uid="{00000000-0005-0000-0000-000049030000}"/>
    <cellStyle name="Normalny 13 2 2 2 2" xfId="841" xr:uid="{00000000-0005-0000-0000-00004A030000}"/>
    <cellStyle name="Normalny 13 2 2 2 2 2" xfId="842" xr:uid="{00000000-0005-0000-0000-00004B030000}"/>
    <cellStyle name="Normalny 13 2 2 2 3" xfId="843" xr:uid="{00000000-0005-0000-0000-00004C030000}"/>
    <cellStyle name="Normalny 13 2 2 2 3 2" xfId="844" xr:uid="{00000000-0005-0000-0000-00004D030000}"/>
    <cellStyle name="Normalny 13 2 2 2 4" xfId="845" xr:uid="{00000000-0005-0000-0000-00004E030000}"/>
    <cellStyle name="Normalny 13 2 2 2 5" xfId="846" xr:uid="{00000000-0005-0000-0000-00004F030000}"/>
    <cellStyle name="Normalny 13 2 2 3" xfId="847" xr:uid="{00000000-0005-0000-0000-000050030000}"/>
    <cellStyle name="Normalny 13 2 2 3 2" xfId="848" xr:uid="{00000000-0005-0000-0000-000051030000}"/>
    <cellStyle name="Normalny 13 2 2 4" xfId="849" xr:uid="{00000000-0005-0000-0000-000052030000}"/>
    <cellStyle name="Normalny 13 2 2 4 2" xfId="850" xr:uid="{00000000-0005-0000-0000-000053030000}"/>
    <cellStyle name="Normalny 13 2 2 5" xfId="851" xr:uid="{00000000-0005-0000-0000-000054030000}"/>
    <cellStyle name="Normalny 13 2 2 6" xfId="852" xr:uid="{00000000-0005-0000-0000-000055030000}"/>
    <cellStyle name="Normalny 13 2 3" xfId="853" xr:uid="{00000000-0005-0000-0000-000056030000}"/>
    <cellStyle name="Normalny 13 2 3 2" xfId="854" xr:uid="{00000000-0005-0000-0000-000057030000}"/>
    <cellStyle name="Normalny 13 2 3 2 2" xfId="855" xr:uid="{00000000-0005-0000-0000-000058030000}"/>
    <cellStyle name="Normalny 13 2 3 3" xfId="856" xr:uid="{00000000-0005-0000-0000-000059030000}"/>
    <cellStyle name="Normalny 13 2 3 3 2" xfId="857" xr:uid="{00000000-0005-0000-0000-00005A030000}"/>
    <cellStyle name="Normalny 13 2 3 4" xfId="858" xr:uid="{00000000-0005-0000-0000-00005B030000}"/>
    <cellStyle name="Normalny 13 2 3 5" xfId="859" xr:uid="{00000000-0005-0000-0000-00005C030000}"/>
    <cellStyle name="Normalny 13 2 4" xfId="860" xr:uid="{00000000-0005-0000-0000-00005D030000}"/>
    <cellStyle name="Normalny 13 2 4 2" xfId="861" xr:uid="{00000000-0005-0000-0000-00005E030000}"/>
    <cellStyle name="Normalny 13 2 5" xfId="862" xr:uid="{00000000-0005-0000-0000-00005F030000}"/>
    <cellStyle name="Normalny 13 2 5 2" xfId="863" xr:uid="{00000000-0005-0000-0000-000060030000}"/>
    <cellStyle name="Normalny 13 2 6" xfId="864" xr:uid="{00000000-0005-0000-0000-000061030000}"/>
    <cellStyle name="Normalny 13 2 7" xfId="865" xr:uid="{00000000-0005-0000-0000-000062030000}"/>
    <cellStyle name="Normalny 13 3" xfId="866" xr:uid="{00000000-0005-0000-0000-000063030000}"/>
    <cellStyle name="Normalny 13 3 2" xfId="867" xr:uid="{00000000-0005-0000-0000-000064030000}"/>
    <cellStyle name="Normalny 13 3 2 2" xfId="868" xr:uid="{00000000-0005-0000-0000-000065030000}"/>
    <cellStyle name="Normalny 13 3 2 2 2" xfId="869" xr:uid="{00000000-0005-0000-0000-000066030000}"/>
    <cellStyle name="Normalny 13 3 2 2 3" xfId="870" xr:uid="{00000000-0005-0000-0000-000067030000}"/>
    <cellStyle name="Normalny 13 3 2 3" xfId="871" xr:uid="{00000000-0005-0000-0000-000068030000}"/>
    <cellStyle name="Normalny 13 3 2 4" xfId="872" xr:uid="{00000000-0005-0000-0000-000069030000}"/>
    <cellStyle name="Normalny 13 3 3" xfId="873" xr:uid="{00000000-0005-0000-0000-00006A030000}"/>
    <cellStyle name="Normalny 13 3 4" xfId="874" xr:uid="{00000000-0005-0000-0000-00006B030000}"/>
    <cellStyle name="Normalny 13 3 5" xfId="875" xr:uid="{00000000-0005-0000-0000-00006C030000}"/>
    <cellStyle name="Normalny 13 3 6" xfId="876" xr:uid="{00000000-0005-0000-0000-00006D030000}"/>
    <cellStyle name="Normalny 13 4" xfId="877" xr:uid="{00000000-0005-0000-0000-00006E030000}"/>
    <cellStyle name="Normalny 13 4 2" xfId="878" xr:uid="{00000000-0005-0000-0000-00006F030000}"/>
    <cellStyle name="Normalny 13 4 3" xfId="879" xr:uid="{00000000-0005-0000-0000-000070030000}"/>
    <cellStyle name="Normalny 13 5" xfId="880" xr:uid="{00000000-0005-0000-0000-000071030000}"/>
    <cellStyle name="Normalny 13 5 2" xfId="881" xr:uid="{00000000-0005-0000-0000-000072030000}"/>
    <cellStyle name="Normalny 13 5 3" xfId="882" xr:uid="{00000000-0005-0000-0000-000073030000}"/>
    <cellStyle name="Normalny 13 6" xfId="883" xr:uid="{00000000-0005-0000-0000-000074030000}"/>
    <cellStyle name="Normalny 13 6 2" xfId="884" xr:uid="{00000000-0005-0000-0000-000075030000}"/>
    <cellStyle name="Normalny 13 6 2 2" xfId="885" xr:uid="{00000000-0005-0000-0000-000076030000}"/>
    <cellStyle name="Normalny 13 6 3" xfId="886" xr:uid="{00000000-0005-0000-0000-000077030000}"/>
    <cellStyle name="Normalny 13 6 3 2" xfId="887" xr:uid="{00000000-0005-0000-0000-000078030000}"/>
    <cellStyle name="Normalny 13 6 4" xfId="888" xr:uid="{00000000-0005-0000-0000-000079030000}"/>
    <cellStyle name="Normalny 13 6 5" xfId="889" xr:uid="{00000000-0005-0000-0000-00007A030000}"/>
    <cellStyle name="Normalny 13 7" xfId="890" xr:uid="{00000000-0005-0000-0000-00007B030000}"/>
    <cellStyle name="Normalny 13 7 2" xfId="891" xr:uid="{00000000-0005-0000-0000-00007C030000}"/>
    <cellStyle name="Normalny 13 8" xfId="892" xr:uid="{00000000-0005-0000-0000-00007D030000}"/>
    <cellStyle name="Normalny 13 8 2" xfId="893" xr:uid="{00000000-0005-0000-0000-00007E030000}"/>
    <cellStyle name="Normalny 13 9" xfId="894" xr:uid="{00000000-0005-0000-0000-00007F030000}"/>
    <cellStyle name="Normalny 14" xfId="895" xr:uid="{00000000-0005-0000-0000-000080030000}"/>
    <cellStyle name="Normalny 14 2" xfId="896" xr:uid="{00000000-0005-0000-0000-000081030000}"/>
    <cellStyle name="Normalny 14 2 2" xfId="897" xr:uid="{00000000-0005-0000-0000-000082030000}"/>
    <cellStyle name="Normalny 14 2 2 2" xfId="898" xr:uid="{00000000-0005-0000-0000-000083030000}"/>
    <cellStyle name="Normalny 14 2 2 3" xfId="899" xr:uid="{00000000-0005-0000-0000-000084030000}"/>
    <cellStyle name="Normalny 14 2 3" xfId="900" xr:uid="{00000000-0005-0000-0000-000085030000}"/>
    <cellStyle name="Normalny 14 2 4" xfId="901" xr:uid="{00000000-0005-0000-0000-000086030000}"/>
    <cellStyle name="Normalny 14 3" xfId="902" xr:uid="{00000000-0005-0000-0000-000087030000}"/>
    <cellStyle name="Normalny 14 4" xfId="903" xr:uid="{00000000-0005-0000-0000-000088030000}"/>
    <cellStyle name="Normalny 14 5" xfId="904" xr:uid="{00000000-0005-0000-0000-000089030000}"/>
    <cellStyle name="Normalny 15" xfId="905" xr:uid="{00000000-0005-0000-0000-00008A030000}"/>
    <cellStyle name="Normalny 15 2" xfId="906" xr:uid="{00000000-0005-0000-0000-00008B030000}"/>
    <cellStyle name="Normalny 16" xfId="907" xr:uid="{00000000-0005-0000-0000-00008C030000}"/>
    <cellStyle name="Normalny 16 2" xfId="908" xr:uid="{00000000-0005-0000-0000-00008D030000}"/>
    <cellStyle name="Normalny 16 3" xfId="909" xr:uid="{00000000-0005-0000-0000-00008E030000}"/>
    <cellStyle name="Normalny 17" xfId="910" xr:uid="{00000000-0005-0000-0000-00008F030000}"/>
    <cellStyle name="Normalny 18" xfId="911" xr:uid="{00000000-0005-0000-0000-000090030000}"/>
    <cellStyle name="Normalny 19" xfId="912" xr:uid="{00000000-0005-0000-0000-000091030000}"/>
    <cellStyle name="Normalny 2" xfId="913" xr:uid="{00000000-0005-0000-0000-000092030000}"/>
    <cellStyle name="Normalny 2 2" xfId="914" xr:uid="{00000000-0005-0000-0000-000093030000}"/>
    <cellStyle name="Normalny 2 3" xfId="915" xr:uid="{00000000-0005-0000-0000-000094030000}"/>
    <cellStyle name="Normalny 20" xfId="916" xr:uid="{00000000-0005-0000-0000-000095030000}"/>
    <cellStyle name="Normalny 3" xfId="917" xr:uid="{00000000-0005-0000-0000-000096030000}"/>
    <cellStyle name="Normalny 4" xfId="918" xr:uid="{00000000-0005-0000-0000-000097030000}"/>
    <cellStyle name="Normalny 5" xfId="919" xr:uid="{00000000-0005-0000-0000-000098030000}"/>
    <cellStyle name="Normalny 6" xfId="920" xr:uid="{00000000-0005-0000-0000-000099030000}"/>
    <cellStyle name="Normalny 7" xfId="921" xr:uid="{00000000-0005-0000-0000-00009A030000}"/>
    <cellStyle name="Normalny 8" xfId="922" xr:uid="{00000000-0005-0000-0000-00009B030000}"/>
    <cellStyle name="Normalny 9" xfId="923" xr:uid="{00000000-0005-0000-0000-00009C030000}"/>
    <cellStyle name="Normalny_S301-339-05" xfId="1246" xr:uid="{00000000-0005-0000-0000-00009D030000}"/>
    <cellStyle name="Normalny_T206" xfId="1245" xr:uid="{00000000-0005-0000-0000-00009E030000}"/>
    <cellStyle name="Note 2" xfId="924" xr:uid="{00000000-0005-0000-0000-00009F030000}"/>
    <cellStyle name="Note 3" xfId="925" xr:uid="{00000000-0005-0000-0000-0000A0030000}"/>
    <cellStyle name="Notiz 2" xfId="926" xr:uid="{00000000-0005-0000-0000-0000A1030000}"/>
    <cellStyle name="Obliczenia 10" xfId="927" xr:uid="{00000000-0005-0000-0000-0000A2030000}"/>
    <cellStyle name="Obliczenia 10 2" xfId="928" xr:uid="{00000000-0005-0000-0000-0000A3030000}"/>
    <cellStyle name="Obliczenia 10 3" xfId="929" xr:uid="{00000000-0005-0000-0000-0000A4030000}"/>
    <cellStyle name="Obliczenia 11" xfId="930" xr:uid="{00000000-0005-0000-0000-0000A5030000}"/>
    <cellStyle name="Obliczenia 12" xfId="931" xr:uid="{00000000-0005-0000-0000-0000A6030000}"/>
    <cellStyle name="Obliczenia 2" xfId="932" xr:uid="{00000000-0005-0000-0000-0000A7030000}"/>
    <cellStyle name="Obliczenia 3" xfId="933" xr:uid="{00000000-0005-0000-0000-0000A8030000}"/>
    <cellStyle name="Obliczenia 4" xfId="934" xr:uid="{00000000-0005-0000-0000-0000A9030000}"/>
    <cellStyle name="Obliczenia 5" xfId="935" xr:uid="{00000000-0005-0000-0000-0000AA030000}"/>
    <cellStyle name="Obliczenia 6" xfId="936" xr:uid="{00000000-0005-0000-0000-0000AB030000}"/>
    <cellStyle name="Obliczenia 7" xfId="937" xr:uid="{00000000-0005-0000-0000-0000AC030000}"/>
    <cellStyle name="Obliczenia 8" xfId="938" xr:uid="{00000000-0005-0000-0000-0000AD030000}"/>
    <cellStyle name="Obliczenia 9" xfId="939" xr:uid="{00000000-0005-0000-0000-0000AE030000}"/>
    <cellStyle name="Obliczenia 9 2" xfId="940" xr:uid="{00000000-0005-0000-0000-0000AF030000}"/>
    <cellStyle name="Obliczenia 9 3" xfId="941" xr:uid="{00000000-0005-0000-0000-0000B0030000}"/>
    <cellStyle name="Output 2" xfId="942" xr:uid="{00000000-0005-0000-0000-0000B1030000}"/>
    <cellStyle name="Output 3" xfId="943" xr:uid="{00000000-0005-0000-0000-0000B2030000}"/>
    <cellStyle name="Percent [2]" xfId="944" xr:uid="{00000000-0005-0000-0000-0000B3030000}"/>
    <cellStyle name="Procentowy 2" xfId="945" xr:uid="{00000000-0005-0000-0000-0000B4030000}"/>
    <cellStyle name="Procentowy 2 2" xfId="946" xr:uid="{00000000-0005-0000-0000-0000B5030000}"/>
    <cellStyle name="Procentowy 2 2 2" xfId="947" xr:uid="{00000000-0005-0000-0000-0000B6030000}"/>
    <cellStyle name="Procentowy 2 2 3" xfId="948" xr:uid="{00000000-0005-0000-0000-0000B7030000}"/>
    <cellStyle name="Procentowy 2 3" xfId="949" xr:uid="{00000000-0005-0000-0000-0000B8030000}"/>
    <cellStyle name="Procentowy 2 3 2" xfId="950" xr:uid="{00000000-0005-0000-0000-0000B9030000}"/>
    <cellStyle name="Procentowy 2 3 2 2" xfId="951" xr:uid="{00000000-0005-0000-0000-0000BA030000}"/>
    <cellStyle name="Procentowy 2 3 2 3" xfId="952" xr:uid="{00000000-0005-0000-0000-0000BB030000}"/>
    <cellStyle name="Procentowy 2 3 3" xfId="953" xr:uid="{00000000-0005-0000-0000-0000BC030000}"/>
    <cellStyle name="Procentowy 2 4" xfId="954" xr:uid="{00000000-0005-0000-0000-0000BD030000}"/>
    <cellStyle name="Procentowy 2 4 2" xfId="955" xr:uid="{00000000-0005-0000-0000-0000BE030000}"/>
    <cellStyle name="Procentowy 2 4 3" xfId="956" xr:uid="{00000000-0005-0000-0000-0000BF030000}"/>
    <cellStyle name="Procentowy 2 5" xfId="957" xr:uid="{00000000-0005-0000-0000-0000C0030000}"/>
    <cellStyle name="Procentowy 2 6" xfId="958" xr:uid="{00000000-0005-0000-0000-0000C1030000}"/>
    <cellStyle name="Procentowy 2 7" xfId="959" xr:uid="{00000000-0005-0000-0000-0000C2030000}"/>
    <cellStyle name="Procentowy 3" xfId="960" xr:uid="{00000000-0005-0000-0000-0000C3030000}"/>
    <cellStyle name="Procentowy 4" xfId="961" xr:uid="{00000000-0005-0000-0000-0000C4030000}"/>
    <cellStyle name="Prozent 2" xfId="962" xr:uid="{00000000-0005-0000-0000-0000C5030000}"/>
    <cellStyle name="Prozent 2 2" xfId="963" xr:uid="{00000000-0005-0000-0000-0000C6030000}"/>
    <cellStyle name="Prozent 3" xfId="964" xr:uid="{00000000-0005-0000-0000-0000C7030000}"/>
    <cellStyle name="Prozent 4" xfId="965" xr:uid="{00000000-0005-0000-0000-0000C8030000}"/>
    <cellStyle name="Prozent 5" xfId="966" xr:uid="{00000000-0005-0000-0000-0000C9030000}"/>
    <cellStyle name="Prozent 5 2" xfId="967" xr:uid="{00000000-0005-0000-0000-0000CA030000}"/>
    <cellStyle name="Prozent 5 2 2" xfId="968" xr:uid="{00000000-0005-0000-0000-0000CB030000}"/>
    <cellStyle name="Prozent 5 2 3" xfId="969" xr:uid="{00000000-0005-0000-0000-0000CC030000}"/>
    <cellStyle name="Prozent 5 3" xfId="970" xr:uid="{00000000-0005-0000-0000-0000CD030000}"/>
    <cellStyle name="Prozent 5 3 2" xfId="971" xr:uid="{00000000-0005-0000-0000-0000CE030000}"/>
    <cellStyle name="Prozent 5 3 3" xfId="972" xr:uid="{00000000-0005-0000-0000-0000CF030000}"/>
    <cellStyle name="Prozent 5 3 4" xfId="973" xr:uid="{00000000-0005-0000-0000-0000D0030000}"/>
    <cellStyle name="Prozent 5 4" xfId="974" xr:uid="{00000000-0005-0000-0000-0000D1030000}"/>
    <cellStyle name="Prozent 6" xfId="975" xr:uid="{00000000-0005-0000-0000-0000D2030000}"/>
    <cellStyle name="Prozent 6 2" xfId="976" xr:uid="{00000000-0005-0000-0000-0000D3030000}"/>
    <cellStyle name="Prozent 6 2 2" xfId="977" xr:uid="{00000000-0005-0000-0000-0000D4030000}"/>
    <cellStyle name="Prozent 6 2 3" xfId="978" xr:uid="{00000000-0005-0000-0000-0000D5030000}"/>
    <cellStyle name="Prozent 6 3" xfId="979" xr:uid="{00000000-0005-0000-0000-0000D6030000}"/>
    <cellStyle name="Prozent 6 3 2" xfId="980" xr:uid="{00000000-0005-0000-0000-0000D7030000}"/>
    <cellStyle name="Prozent 6 3 3" xfId="981" xr:uid="{00000000-0005-0000-0000-0000D8030000}"/>
    <cellStyle name="Prozent 6 3 4" xfId="982" xr:uid="{00000000-0005-0000-0000-0000D9030000}"/>
    <cellStyle name="Prozent 6 4" xfId="983" xr:uid="{00000000-0005-0000-0000-0000DA030000}"/>
    <cellStyle name="Prozent 7" xfId="984" xr:uid="{00000000-0005-0000-0000-0000DB030000}"/>
    <cellStyle name="Prozent 8" xfId="985" xr:uid="{00000000-0005-0000-0000-0000DC030000}"/>
    <cellStyle name="Prozent 8 2" xfId="986" xr:uid="{00000000-0005-0000-0000-0000DD030000}"/>
    <cellStyle name="Prozent 8 2 2" xfId="987" xr:uid="{00000000-0005-0000-0000-0000DE030000}"/>
    <cellStyle name="Prozent 8 3" xfId="988" xr:uid="{00000000-0005-0000-0000-0000DF030000}"/>
    <cellStyle name="RangeName" xfId="989" xr:uid="{00000000-0005-0000-0000-0000E0030000}"/>
    <cellStyle name="SAPBEXaggData" xfId="990" xr:uid="{00000000-0005-0000-0000-0000E1030000}"/>
    <cellStyle name="SAPBEXaggDataEmph" xfId="991" xr:uid="{00000000-0005-0000-0000-0000E2030000}"/>
    <cellStyle name="SAPBEXaggItem" xfId="992" xr:uid="{00000000-0005-0000-0000-0000E3030000}"/>
    <cellStyle name="SAPBEXaggItemX" xfId="993" xr:uid="{00000000-0005-0000-0000-0000E4030000}"/>
    <cellStyle name="SAPBEXchaText" xfId="994" xr:uid="{00000000-0005-0000-0000-0000E5030000}"/>
    <cellStyle name="SAPBEXexcBad7" xfId="995" xr:uid="{00000000-0005-0000-0000-0000E6030000}"/>
    <cellStyle name="SAPBEXexcBad8" xfId="996" xr:uid="{00000000-0005-0000-0000-0000E7030000}"/>
    <cellStyle name="SAPBEXexcBad9" xfId="997" xr:uid="{00000000-0005-0000-0000-0000E8030000}"/>
    <cellStyle name="SAPBEXexcCritical4" xfId="998" xr:uid="{00000000-0005-0000-0000-0000E9030000}"/>
    <cellStyle name="SAPBEXexcCritical5" xfId="999" xr:uid="{00000000-0005-0000-0000-0000EA030000}"/>
    <cellStyle name="SAPBEXexcCritical6" xfId="1000" xr:uid="{00000000-0005-0000-0000-0000EB030000}"/>
    <cellStyle name="SAPBEXexcGood1" xfId="1001" xr:uid="{00000000-0005-0000-0000-0000EC030000}"/>
    <cellStyle name="SAPBEXexcGood2" xfId="1002" xr:uid="{00000000-0005-0000-0000-0000ED030000}"/>
    <cellStyle name="SAPBEXexcGood3" xfId="1003" xr:uid="{00000000-0005-0000-0000-0000EE030000}"/>
    <cellStyle name="SAPBEXfilterDrill" xfId="1004" xr:uid="{00000000-0005-0000-0000-0000EF030000}"/>
    <cellStyle name="SAPBEXfilterItem" xfId="1005" xr:uid="{00000000-0005-0000-0000-0000F0030000}"/>
    <cellStyle name="SAPBEXfilterText" xfId="1006" xr:uid="{00000000-0005-0000-0000-0000F1030000}"/>
    <cellStyle name="SAPBEXformats" xfId="1007" xr:uid="{00000000-0005-0000-0000-0000F2030000}"/>
    <cellStyle name="SAPBEXheaderItem" xfId="1008" xr:uid="{00000000-0005-0000-0000-0000F3030000}"/>
    <cellStyle name="SAPBEXheaderText" xfId="1009" xr:uid="{00000000-0005-0000-0000-0000F4030000}"/>
    <cellStyle name="SAPBEXHLevel0" xfId="1010" xr:uid="{00000000-0005-0000-0000-0000F5030000}"/>
    <cellStyle name="SAPBEXHLevel0X" xfId="1011" xr:uid="{00000000-0005-0000-0000-0000F6030000}"/>
    <cellStyle name="SAPBEXHLevel1" xfId="1012" xr:uid="{00000000-0005-0000-0000-0000F7030000}"/>
    <cellStyle name="SAPBEXHLevel1X" xfId="1013" xr:uid="{00000000-0005-0000-0000-0000F8030000}"/>
    <cellStyle name="SAPBEXHLevel2" xfId="1014" xr:uid="{00000000-0005-0000-0000-0000F9030000}"/>
    <cellStyle name="SAPBEXHLevel2X" xfId="1015" xr:uid="{00000000-0005-0000-0000-0000FA030000}"/>
    <cellStyle name="SAPBEXHLevel3" xfId="1016" xr:uid="{00000000-0005-0000-0000-0000FB030000}"/>
    <cellStyle name="SAPBEXHLevel3X" xfId="1017" xr:uid="{00000000-0005-0000-0000-0000FC030000}"/>
    <cellStyle name="SAPBEXresData" xfId="1018" xr:uid="{00000000-0005-0000-0000-0000FD030000}"/>
    <cellStyle name="SAPBEXresDataEmph" xfId="1019" xr:uid="{00000000-0005-0000-0000-0000FE030000}"/>
    <cellStyle name="SAPBEXresItem" xfId="1020" xr:uid="{00000000-0005-0000-0000-0000FF030000}"/>
    <cellStyle name="SAPBEXresItemX" xfId="1021" xr:uid="{00000000-0005-0000-0000-000000040000}"/>
    <cellStyle name="SAPBEXstdData" xfId="1022" xr:uid="{00000000-0005-0000-0000-000001040000}"/>
    <cellStyle name="SAPBEXstdDataEmph" xfId="1023" xr:uid="{00000000-0005-0000-0000-000002040000}"/>
    <cellStyle name="SAPBEXstdItem" xfId="1024" xr:uid="{00000000-0005-0000-0000-000003040000}"/>
    <cellStyle name="SAPBEXstdItemX" xfId="1025" xr:uid="{00000000-0005-0000-0000-000004040000}"/>
    <cellStyle name="SAPBEXtitle" xfId="1026" xr:uid="{00000000-0005-0000-0000-000005040000}"/>
    <cellStyle name="SAPBEXundefined" xfId="1027" xr:uid="{00000000-0005-0000-0000-000006040000}"/>
    <cellStyle name="Schlecht 2" xfId="1028" xr:uid="{00000000-0005-0000-0000-000007040000}"/>
    <cellStyle name="Shade" xfId="1029" xr:uid="{00000000-0005-0000-0000-000008040000}"/>
    <cellStyle name="Standaard_Blad1" xfId="1030" xr:uid="{00000000-0005-0000-0000-000009040000}"/>
    <cellStyle name="Standard 10" xfId="1031" xr:uid="{00000000-0005-0000-0000-00000A040000}"/>
    <cellStyle name="Standard 11" xfId="1032" xr:uid="{00000000-0005-0000-0000-00000B040000}"/>
    <cellStyle name="Standard 11 2" xfId="1033" xr:uid="{00000000-0005-0000-0000-00000C040000}"/>
    <cellStyle name="Standard 11 3" xfId="1034" xr:uid="{00000000-0005-0000-0000-00000D040000}"/>
    <cellStyle name="Standard 11 4" xfId="1035" xr:uid="{00000000-0005-0000-0000-00000E040000}"/>
    <cellStyle name="Standard 11 5" xfId="1036" xr:uid="{00000000-0005-0000-0000-00000F040000}"/>
    <cellStyle name="Standard 12" xfId="1037" xr:uid="{00000000-0005-0000-0000-000010040000}"/>
    <cellStyle name="Standard 12 2" xfId="1038" xr:uid="{00000000-0005-0000-0000-000011040000}"/>
    <cellStyle name="Standard 12 2 2" xfId="1039" xr:uid="{00000000-0005-0000-0000-000012040000}"/>
    <cellStyle name="Standard 12 2 2 2" xfId="1040" xr:uid="{00000000-0005-0000-0000-000013040000}"/>
    <cellStyle name="Standard 12 3" xfId="1041" xr:uid="{00000000-0005-0000-0000-000014040000}"/>
    <cellStyle name="Standard 12 4" xfId="1042" xr:uid="{00000000-0005-0000-0000-000015040000}"/>
    <cellStyle name="Standard 13" xfId="1043" xr:uid="{00000000-0005-0000-0000-000016040000}"/>
    <cellStyle name="Standard 2" xfId="1044" xr:uid="{00000000-0005-0000-0000-000017040000}"/>
    <cellStyle name="Standard 2 2" xfId="1045" xr:uid="{00000000-0005-0000-0000-000018040000}"/>
    <cellStyle name="Standard 2 3" xfId="1046" xr:uid="{00000000-0005-0000-0000-000019040000}"/>
    <cellStyle name="Standard 2 3 2" xfId="1047" xr:uid="{00000000-0005-0000-0000-00001A040000}"/>
    <cellStyle name="Standard 2 3 3" xfId="1048" xr:uid="{00000000-0005-0000-0000-00001B040000}"/>
    <cellStyle name="Standard 2 4" xfId="1049" xr:uid="{00000000-0005-0000-0000-00001C040000}"/>
    <cellStyle name="Standard 2 4 2" xfId="1050" xr:uid="{00000000-0005-0000-0000-00001D040000}"/>
    <cellStyle name="Standard 2 4 3" xfId="1051" xr:uid="{00000000-0005-0000-0000-00001E040000}"/>
    <cellStyle name="Standard 2 5" xfId="1052" xr:uid="{00000000-0005-0000-0000-00001F040000}"/>
    <cellStyle name="Standard 3" xfId="1053" xr:uid="{00000000-0005-0000-0000-000020040000}"/>
    <cellStyle name="Standard 3 2" xfId="1054" xr:uid="{00000000-0005-0000-0000-000021040000}"/>
    <cellStyle name="Standard 3_PL" xfId="1055" xr:uid="{00000000-0005-0000-0000-000022040000}"/>
    <cellStyle name="Standard 4" xfId="1056" xr:uid="{00000000-0005-0000-0000-000023040000}"/>
    <cellStyle name="Standard 4 2" xfId="1057" xr:uid="{00000000-0005-0000-0000-000024040000}"/>
    <cellStyle name="Standard 4_PL" xfId="1058" xr:uid="{00000000-0005-0000-0000-000025040000}"/>
    <cellStyle name="Standard 5" xfId="1059" xr:uid="{00000000-0005-0000-0000-000026040000}"/>
    <cellStyle name="Standard 5 2" xfId="1060" xr:uid="{00000000-0005-0000-0000-000027040000}"/>
    <cellStyle name="Standard 5 2 2" xfId="1061" xr:uid="{00000000-0005-0000-0000-000028040000}"/>
    <cellStyle name="Standard 5 2 2 2" xfId="1062" xr:uid="{00000000-0005-0000-0000-000029040000}"/>
    <cellStyle name="Standard 5 2 2 3" xfId="1063" xr:uid="{00000000-0005-0000-0000-00002A040000}"/>
    <cellStyle name="Standard 5 2 3" xfId="1064" xr:uid="{00000000-0005-0000-0000-00002B040000}"/>
    <cellStyle name="Standard 5 2 3 2" xfId="1065" xr:uid="{00000000-0005-0000-0000-00002C040000}"/>
    <cellStyle name="Standard 5 2 3 3" xfId="1066" xr:uid="{00000000-0005-0000-0000-00002D040000}"/>
    <cellStyle name="Standard 5 2 4" xfId="1067" xr:uid="{00000000-0005-0000-0000-00002E040000}"/>
    <cellStyle name="Standard 5 2 5" xfId="1068" xr:uid="{00000000-0005-0000-0000-00002F040000}"/>
    <cellStyle name="Standard 5 2_ELC_Processes" xfId="1069" xr:uid="{00000000-0005-0000-0000-000030040000}"/>
    <cellStyle name="Standard 5 3" xfId="1070" xr:uid="{00000000-0005-0000-0000-000031040000}"/>
    <cellStyle name="Standard 5 3 2" xfId="1071" xr:uid="{00000000-0005-0000-0000-000032040000}"/>
    <cellStyle name="Standard 5 3 3" xfId="1072" xr:uid="{00000000-0005-0000-0000-000033040000}"/>
    <cellStyle name="Standard 5 4" xfId="1073" xr:uid="{00000000-0005-0000-0000-000034040000}"/>
    <cellStyle name="Standard 5 4 2" xfId="1074" xr:uid="{00000000-0005-0000-0000-000035040000}"/>
    <cellStyle name="Standard 5 4 3" xfId="1075" xr:uid="{00000000-0005-0000-0000-000036040000}"/>
    <cellStyle name="Standard 5 5" xfId="1076" xr:uid="{00000000-0005-0000-0000-000037040000}"/>
    <cellStyle name="Standard 5 5 2" xfId="1077" xr:uid="{00000000-0005-0000-0000-000038040000}"/>
    <cellStyle name="Standard 5 5 3" xfId="1078" xr:uid="{00000000-0005-0000-0000-000039040000}"/>
    <cellStyle name="Standard 5 6" xfId="1079" xr:uid="{00000000-0005-0000-0000-00003A040000}"/>
    <cellStyle name="Standard 5 7" xfId="1080" xr:uid="{00000000-0005-0000-0000-00003B040000}"/>
    <cellStyle name="Standard 5_ELC_Processes" xfId="1081" xr:uid="{00000000-0005-0000-0000-00003C040000}"/>
    <cellStyle name="Standard 6" xfId="1082" xr:uid="{00000000-0005-0000-0000-00003D040000}"/>
    <cellStyle name="Standard 6 2" xfId="1083" xr:uid="{00000000-0005-0000-0000-00003E040000}"/>
    <cellStyle name="Standard 7" xfId="1084" xr:uid="{00000000-0005-0000-0000-00003F040000}"/>
    <cellStyle name="Standard 8" xfId="1085" xr:uid="{00000000-0005-0000-0000-000040040000}"/>
    <cellStyle name="Standard 8 2" xfId="1086" xr:uid="{00000000-0005-0000-0000-000041040000}"/>
    <cellStyle name="Standard 8 3" xfId="1087" xr:uid="{00000000-0005-0000-0000-000042040000}"/>
    <cellStyle name="Standard 9" xfId="1088" xr:uid="{00000000-0005-0000-0000-000043040000}"/>
    <cellStyle name="Standard 9 2" xfId="1089" xr:uid="{00000000-0005-0000-0000-000044040000}"/>
    <cellStyle name="Standard 9 3" xfId="1090" xr:uid="{00000000-0005-0000-0000-000045040000}"/>
    <cellStyle name="Standard_Results_Pan_EU_OLGA_NUC" xfId="1091" xr:uid="{00000000-0005-0000-0000-000046040000}"/>
    <cellStyle name="Style 21" xfId="1092" xr:uid="{00000000-0005-0000-0000-000047040000}"/>
    <cellStyle name="Style 22" xfId="1093" xr:uid="{00000000-0005-0000-0000-000048040000}"/>
    <cellStyle name="Style 23" xfId="1094" xr:uid="{00000000-0005-0000-0000-000049040000}"/>
    <cellStyle name="Style 24" xfId="1095" xr:uid="{00000000-0005-0000-0000-00004A040000}"/>
    <cellStyle name="Style 25" xfId="1096" xr:uid="{00000000-0005-0000-0000-00004B040000}"/>
    <cellStyle name="Style 26" xfId="1097" xr:uid="{00000000-0005-0000-0000-00004C040000}"/>
    <cellStyle name="Style 27" xfId="1098" xr:uid="{00000000-0005-0000-0000-00004D040000}"/>
    <cellStyle name="Style 28" xfId="1099" xr:uid="{00000000-0005-0000-0000-00004E040000}"/>
    <cellStyle name="Style 29" xfId="1100" xr:uid="{00000000-0005-0000-0000-00004F040000}"/>
    <cellStyle name="Style 30" xfId="1101" xr:uid="{00000000-0005-0000-0000-000050040000}"/>
    <cellStyle name="Style 31" xfId="1102" xr:uid="{00000000-0005-0000-0000-000051040000}"/>
    <cellStyle name="Style 32" xfId="1103" xr:uid="{00000000-0005-0000-0000-000052040000}"/>
    <cellStyle name="Style 33" xfId="1104" xr:uid="{00000000-0005-0000-0000-000053040000}"/>
    <cellStyle name="Style 34" xfId="1105" xr:uid="{00000000-0005-0000-0000-000054040000}"/>
    <cellStyle name="Style 35" xfId="1106" xr:uid="{00000000-0005-0000-0000-000055040000}"/>
    <cellStyle name="Suma" xfId="1107" xr:uid="{00000000-0005-0000-0000-000056040000}"/>
    <cellStyle name="Suma 10" xfId="1108" xr:uid="{00000000-0005-0000-0000-000057040000}"/>
    <cellStyle name="Suma 10 2" xfId="1109" xr:uid="{00000000-0005-0000-0000-000058040000}"/>
    <cellStyle name="Suma 10 3" xfId="1110" xr:uid="{00000000-0005-0000-0000-000059040000}"/>
    <cellStyle name="Suma 11" xfId="1111" xr:uid="{00000000-0005-0000-0000-00005A040000}"/>
    <cellStyle name="Suma 12" xfId="1112" xr:uid="{00000000-0005-0000-0000-00005B040000}"/>
    <cellStyle name="Suma 2" xfId="1113" xr:uid="{00000000-0005-0000-0000-00005C040000}"/>
    <cellStyle name="Suma 3" xfId="1114" xr:uid="{00000000-0005-0000-0000-00005D040000}"/>
    <cellStyle name="Suma 4" xfId="1115" xr:uid="{00000000-0005-0000-0000-00005E040000}"/>
    <cellStyle name="Suma 5" xfId="1116" xr:uid="{00000000-0005-0000-0000-00005F040000}"/>
    <cellStyle name="Suma 6" xfId="1117" xr:uid="{00000000-0005-0000-0000-000060040000}"/>
    <cellStyle name="Suma 7" xfId="1118" xr:uid="{00000000-0005-0000-0000-000061040000}"/>
    <cellStyle name="Suma 8" xfId="1119" xr:uid="{00000000-0005-0000-0000-000062040000}"/>
    <cellStyle name="Suma 9" xfId="1120" xr:uid="{00000000-0005-0000-0000-000063040000}"/>
    <cellStyle name="Suma 9 2" xfId="1121" xr:uid="{00000000-0005-0000-0000-000064040000}"/>
    <cellStyle name="Suma 9 3" xfId="1122" xr:uid="{00000000-0005-0000-0000-000065040000}"/>
    <cellStyle name="Suma_D_HEAT" xfId="1123" xr:uid="{00000000-0005-0000-0000-000066040000}"/>
    <cellStyle name="Tekst objaśnienia 10" xfId="1124" xr:uid="{00000000-0005-0000-0000-000067040000}"/>
    <cellStyle name="Tekst objaśnienia 10 2" xfId="1125" xr:uid="{00000000-0005-0000-0000-000068040000}"/>
    <cellStyle name="Tekst objaśnienia 10 3" xfId="1126" xr:uid="{00000000-0005-0000-0000-000069040000}"/>
    <cellStyle name="Tekst objaśnienia 11" xfId="1127" xr:uid="{00000000-0005-0000-0000-00006A040000}"/>
    <cellStyle name="Tekst objaśnienia 12" xfId="1128" xr:uid="{00000000-0005-0000-0000-00006B040000}"/>
    <cellStyle name="Tekst objaśnienia 2" xfId="1129" xr:uid="{00000000-0005-0000-0000-00006C040000}"/>
    <cellStyle name="Tekst objaśnienia 3" xfId="1130" xr:uid="{00000000-0005-0000-0000-00006D040000}"/>
    <cellStyle name="Tekst objaśnienia 4" xfId="1131" xr:uid="{00000000-0005-0000-0000-00006E040000}"/>
    <cellStyle name="Tekst objaśnienia 5" xfId="1132" xr:uid="{00000000-0005-0000-0000-00006F040000}"/>
    <cellStyle name="Tekst objaśnienia 6" xfId="1133" xr:uid="{00000000-0005-0000-0000-000070040000}"/>
    <cellStyle name="Tekst objaśnienia 7" xfId="1134" xr:uid="{00000000-0005-0000-0000-000071040000}"/>
    <cellStyle name="Tekst objaśnienia 8" xfId="1135" xr:uid="{00000000-0005-0000-0000-000072040000}"/>
    <cellStyle name="Tekst objaśnienia 9" xfId="1136" xr:uid="{00000000-0005-0000-0000-000073040000}"/>
    <cellStyle name="Tekst objaśnienia 9 2" xfId="1137" xr:uid="{00000000-0005-0000-0000-000074040000}"/>
    <cellStyle name="Tekst objaśnienia 9 3" xfId="1138" xr:uid="{00000000-0005-0000-0000-000075040000}"/>
    <cellStyle name="Tekst ostrzeżenia" xfId="1139" xr:uid="{00000000-0005-0000-0000-000076040000}"/>
    <cellStyle name="Tekst ostrzeżenia 10" xfId="1140" xr:uid="{00000000-0005-0000-0000-000077040000}"/>
    <cellStyle name="Tekst ostrzeżenia 10 2" xfId="1141" xr:uid="{00000000-0005-0000-0000-000078040000}"/>
    <cellStyle name="Tekst ostrzeżenia 10 3" xfId="1142" xr:uid="{00000000-0005-0000-0000-000079040000}"/>
    <cellStyle name="Tekst ostrzeżenia 11" xfId="1143" xr:uid="{00000000-0005-0000-0000-00007A040000}"/>
    <cellStyle name="Tekst ostrzeżenia 12" xfId="1144" xr:uid="{00000000-0005-0000-0000-00007B040000}"/>
    <cellStyle name="Tekst ostrzeżenia 2" xfId="1145" xr:uid="{00000000-0005-0000-0000-00007C040000}"/>
    <cellStyle name="Tekst ostrzeżenia 3" xfId="1146" xr:uid="{00000000-0005-0000-0000-00007D040000}"/>
    <cellStyle name="Tekst ostrzeżenia 4" xfId="1147" xr:uid="{00000000-0005-0000-0000-00007E040000}"/>
    <cellStyle name="Tekst ostrzeżenia 5" xfId="1148" xr:uid="{00000000-0005-0000-0000-00007F040000}"/>
    <cellStyle name="Tekst ostrzeżenia 6" xfId="1149" xr:uid="{00000000-0005-0000-0000-000080040000}"/>
    <cellStyle name="Tekst ostrzeżenia 7" xfId="1150" xr:uid="{00000000-0005-0000-0000-000081040000}"/>
    <cellStyle name="Tekst ostrzeżenia 8" xfId="1151" xr:uid="{00000000-0005-0000-0000-000082040000}"/>
    <cellStyle name="Tekst ostrzeżenia 9" xfId="1152" xr:uid="{00000000-0005-0000-0000-000083040000}"/>
    <cellStyle name="Tekst ostrzeżenia 9 2" xfId="1153" xr:uid="{00000000-0005-0000-0000-000084040000}"/>
    <cellStyle name="Tekst ostrzeżenia 9 3" xfId="1154" xr:uid="{00000000-0005-0000-0000-000085040000}"/>
    <cellStyle name="Tekst ostrzeżenia_D_HEAT" xfId="1155" xr:uid="{00000000-0005-0000-0000-000086040000}"/>
    <cellStyle name="Title 2" xfId="1156" xr:uid="{00000000-0005-0000-0000-000087040000}"/>
    <cellStyle name="Title 3" xfId="1157" xr:uid="{00000000-0005-0000-0000-000088040000}"/>
    <cellStyle name="Total 10" xfId="1158" xr:uid="{00000000-0005-0000-0000-000089040000}"/>
    <cellStyle name="Total 11" xfId="1159" xr:uid="{00000000-0005-0000-0000-00008A040000}"/>
    <cellStyle name="Total 12" xfId="1160" xr:uid="{00000000-0005-0000-0000-00008B040000}"/>
    <cellStyle name="Total 13" xfId="1161" xr:uid="{00000000-0005-0000-0000-00008C040000}"/>
    <cellStyle name="Total 14" xfId="1162" xr:uid="{00000000-0005-0000-0000-00008D040000}"/>
    <cellStyle name="Total 15" xfId="1163" xr:uid="{00000000-0005-0000-0000-00008E040000}"/>
    <cellStyle name="Total 16" xfId="1164" xr:uid="{00000000-0005-0000-0000-00008F040000}"/>
    <cellStyle name="Total 17" xfId="1165" xr:uid="{00000000-0005-0000-0000-000090040000}"/>
    <cellStyle name="Total 18" xfId="1166" xr:uid="{00000000-0005-0000-0000-000091040000}"/>
    <cellStyle name="Total 19" xfId="1167" xr:uid="{00000000-0005-0000-0000-000092040000}"/>
    <cellStyle name="Total 2" xfId="1168" xr:uid="{00000000-0005-0000-0000-000093040000}"/>
    <cellStyle name="Total 2 2" xfId="1169" xr:uid="{00000000-0005-0000-0000-000094040000}"/>
    <cellStyle name="Total 20" xfId="1170" xr:uid="{00000000-0005-0000-0000-000095040000}"/>
    <cellStyle name="Total 3" xfId="1171" xr:uid="{00000000-0005-0000-0000-000096040000}"/>
    <cellStyle name="Total 4" xfId="1172" xr:uid="{00000000-0005-0000-0000-000097040000}"/>
    <cellStyle name="Total 5" xfId="1173" xr:uid="{00000000-0005-0000-0000-000098040000}"/>
    <cellStyle name="Total 6" xfId="1174" xr:uid="{00000000-0005-0000-0000-000099040000}"/>
    <cellStyle name="Total 7" xfId="1175" xr:uid="{00000000-0005-0000-0000-00009A040000}"/>
    <cellStyle name="Total 8" xfId="1176" xr:uid="{00000000-0005-0000-0000-00009B040000}"/>
    <cellStyle name="Total 9" xfId="1177" xr:uid="{00000000-0005-0000-0000-00009C040000}"/>
    <cellStyle name="Tytuł 2" xfId="1178" xr:uid="{00000000-0005-0000-0000-00009D040000}"/>
    <cellStyle name="Tytuł 2 2" xfId="1179" xr:uid="{00000000-0005-0000-0000-00009E040000}"/>
    <cellStyle name="Tytuł 2 3" xfId="1180" xr:uid="{00000000-0005-0000-0000-00009F040000}"/>
    <cellStyle name="Tytuł 3" xfId="1181" xr:uid="{00000000-0005-0000-0000-0000A0040000}"/>
    <cellStyle name="Tytuł 3 2" xfId="1182" xr:uid="{00000000-0005-0000-0000-0000A1040000}"/>
    <cellStyle name="Tytuł 3 3" xfId="1183" xr:uid="{00000000-0005-0000-0000-0000A2040000}"/>
    <cellStyle name="Tytuł 4" xfId="1184" xr:uid="{00000000-0005-0000-0000-0000A3040000}"/>
    <cellStyle name="Tytuł 5" xfId="1185" xr:uid="{00000000-0005-0000-0000-0000A4040000}"/>
    <cellStyle name="Überschrift 1 2" xfId="1186" xr:uid="{00000000-0005-0000-0000-0000A5040000}"/>
    <cellStyle name="Überschrift 2 2" xfId="1187" xr:uid="{00000000-0005-0000-0000-0000A6040000}"/>
    <cellStyle name="Überschrift 3 2" xfId="1188" xr:uid="{00000000-0005-0000-0000-0000A7040000}"/>
    <cellStyle name="Überschrift 4 2" xfId="1189" xr:uid="{00000000-0005-0000-0000-0000A8040000}"/>
    <cellStyle name="Überschrift 5" xfId="1190" xr:uid="{00000000-0005-0000-0000-0000A9040000}"/>
    <cellStyle name="Unprot" xfId="1191" xr:uid="{00000000-0005-0000-0000-0000AA040000}"/>
    <cellStyle name="Unprot$" xfId="1192" xr:uid="{00000000-0005-0000-0000-0000AB040000}"/>
    <cellStyle name="Unprot_2010-09-24_LTP 2010_assumptions" xfId="1193" xr:uid="{00000000-0005-0000-0000-0000AC040000}"/>
    <cellStyle name="Unprotect" xfId="1194" xr:uid="{00000000-0005-0000-0000-0000AD040000}"/>
    <cellStyle name="Uwaga 10" xfId="1195" xr:uid="{00000000-0005-0000-0000-0000AE040000}"/>
    <cellStyle name="Uwaga 10 2" xfId="1196" xr:uid="{00000000-0005-0000-0000-0000AF040000}"/>
    <cellStyle name="Uwaga 10 3" xfId="1197" xr:uid="{00000000-0005-0000-0000-0000B0040000}"/>
    <cellStyle name="Uwaga 10 3 2" xfId="1198" xr:uid="{00000000-0005-0000-0000-0000B1040000}"/>
    <cellStyle name="Uwaga 10 3 3" xfId="1199" xr:uid="{00000000-0005-0000-0000-0000B2040000}"/>
    <cellStyle name="Uwaga 11" xfId="1200" xr:uid="{00000000-0005-0000-0000-0000B3040000}"/>
    <cellStyle name="Uwaga 11 2" xfId="1201" xr:uid="{00000000-0005-0000-0000-0000B4040000}"/>
    <cellStyle name="Uwaga 11 3" xfId="1202" xr:uid="{00000000-0005-0000-0000-0000B5040000}"/>
    <cellStyle name="Uwaga 12" xfId="1203" xr:uid="{00000000-0005-0000-0000-0000B6040000}"/>
    <cellStyle name="Uwaga 2" xfId="1204" xr:uid="{00000000-0005-0000-0000-0000B7040000}"/>
    <cellStyle name="Uwaga 3" xfId="1205" xr:uid="{00000000-0005-0000-0000-0000B8040000}"/>
    <cellStyle name="Uwaga 4" xfId="1206" xr:uid="{00000000-0005-0000-0000-0000B9040000}"/>
    <cellStyle name="Uwaga 5" xfId="1207" xr:uid="{00000000-0005-0000-0000-0000BA040000}"/>
    <cellStyle name="Uwaga 6" xfId="1208" xr:uid="{00000000-0005-0000-0000-0000BB040000}"/>
    <cellStyle name="Uwaga 7" xfId="1209" xr:uid="{00000000-0005-0000-0000-0000BC040000}"/>
    <cellStyle name="Uwaga 8" xfId="1210" xr:uid="{00000000-0005-0000-0000-0000BD040000}"/>
    <cellStyle name="Uwaga 9" xfId="1211" xr:uid="{00000000-0005-0000-0000-0000BE040000}"/>
    <cellStyle name="Uwaga 9 2" xfId="1212" xr:uid="{00000000-0005-0000-0000-0000BF040000}"/>
    <cellStyle name="Uwaga 9 3" xfId="1213" xr:uid="{00000000-0005-0000-0000-0000C0040000}"/>
    <cellStyle name="Uwaga 9 3 2" xfId="1214" xr:uid="{00000000-0005-0000-0000-0000C1040000}"/>
    <cellStyle name="Uwaga 9 3 3" xfId="1215" xr:uid="{00000000-0005-0000-0000-0000C2040000}"/>
    <cellStyle name="Verknüpfte Zelle 2" xfId="1216" xr:uid="{00000000-0005-0000-0000-0000C3040000}"/>
    <cellStyle name="Währung 2" xfId="1217" xr:uid="{00000000-0005-0000-0000-0000C4040000}"/>
    <cellStyle name="Währung 2 2" xfId="1218" xr:uid="{00000000-0005-0000-0000-0000C5040000}"/>
    <cellStyle name="Walutowy" xfId="1243" builtinId="4"/>
    <cellStyle name="Warnender Text 2" xfId="1219" xr:uid="{00000000-0005-0000-0000-0000C7040000}"/>
    <cellStyle name="Warning Text 2" xfId="1220" xr:uid="{00000000-0005-0000-0000-0000C8040000}"/>
    <cellStyle name="Warning Text 3" xfId="1221" xr:uid="{00000000-0005-0000-0000-0000C9040000}"/>
    <cellStyle name="X10_Figs 21 dec" xfId="1222" xr:uid="{00000000-0005-0000-0000-0000CA040000}"/>
    <cellStyle name="Zelle überprüfen 2" xfId="1223" xr:uid="{00000000-0005-0000-0000-0000CB040000}"/>
    <cellStyle name="Złe" xfId="1224" xr:uid="{00000000-0005-0000-0000-0000CC040000}"/>
    <cellStyle name="Złe 10" xfId="1225" xr:uid="{00000000-0005-0000-0000-0000CD040000}"/>
    <cellStyle name="Złe 10 2" xfId="1226" xr:uid="{00000000-0005-0000-0000-0000CE040000}"/>
    <cellStyle name="Złe 10 3" xfId="1227" xr:uid="{00000000-0005-0000-0000-0000CF040000}"/>
    <cellStyle name="Złe 11" xfId="1228" xr:uid="{00000000-0005-0000-0000-0000D0040000}"/>
    <cellStyle name="Złe 12" xfId="1229" xr:uid="{00000000-0005-0000-0000-0000D1040000}"/>
    <cellStyle name="Złe 2" xfId="1230" xr:uid="{00000000-0005-0000-0000-0000D2040000}"/>
    <cellStyle name="Złe 3" xfId="1231" xr:uid="{00000000-0005-0000-0000-0000D3040000}"/>
    <cellStyle name="Złe 4" xfId="1232" xr:uid="{00000000-0005-0000-0000-0000D4040000}"/>
    <cellStyle name="Złe 5" xfId="1233" xr:uid="{00000000-0005-0000-0000-0000D5040000}"/>
    <cellStyle name="Złe 6" xfId="1234" xr:uid="{00000000-0005-0000-0000-0000D6040000}"/>
    <cellStyle name="Złe 7" xfId="1235" xr:uid="{00000000-0005-0000-0000-0000D7040000}"/>
    <cellStyle name="Złe 8" xfId="1236" xr:uid="{00000000-0005-0000-0000-0000D8040000}"/>
    <cellStyle name="Złe 9" xfId="1237" xr:uid="{00000000-0005-0000-0000-0000D9040000}"/>
    <cellStyle name="Złe 9 2" xfId="1238" xr:uid="{00000000-0005-0000-0000-0000DA040000}"/>
    <cellStyle name="Złe 9 3" xfId="1239" xr:uid="{00000000-0005-0000-0000-0000DB040000}"/>
    <cellStyle name="Złe_D_HEAT" xfId="1240" xr:uid="{00000000-0005-0000-0000-0000DC040000}"/>
    <cellStyle name="Обычный_2++_CRFReport-template" xfId="1241" xr:uid="{00000000-0005-0000-0000-0000DD040000}"/>
    <cellStyle name="已访问的超链接" xfId="1242" xr:uid="{00000000-0005-0000-0000-0000D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457200</xdr:colOff>
      <xdr:row>4</xdr:row>
      <xdr:rowOff>133350</xdr:rowOff>
    </xdr:from>
    <xdr:to>
      <xdr:col>30</xdr:col>
      <xdr:colOff>38100</xdr:colOff>
      <xdr:row>7</xdr:row>
      <xdr:rowOff>161925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EC408EA-235F-40DF-B662-33132DC87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1100" y="866775"/>
          <a:ext cx="56769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6"/>
  <sheetViews>
    <sheetView tabSelected="1" workbookViewId="0">
      <selection activeCell="B2" sqref="B2"/>
    </sheetView>
  </sheetViews>
  <sheetFormatPr defaultColWidth="9.140625" defaultRowHeight="12.95"/>
  <cols>
    <col min="1" max="1" width="2.85546875" style="40" customWidth="1"/>
    <col min="2" max="2" width="36.5703125" style="40" customWidth="1"/>
    <col min="3" max="3" width="14" style="40" customWidth="1"/>
    <col min="4" max="4" width="14.42578125" style="40" customWidth="1"/>
    <col min="5" max="5" width="10.7109375" style="40" customWidth="1"/>
    <col min="6" max="6" width="10" style="40" customWidth="1"/>
    <col min="7" max="7" width="12" style="40" customWidth="1"/>
    <col min="8" max="8" width="11" style="40" customWidth="1"/>
    <col min="9" max="9" width="10.5703125" style="40" customWidth="1"/>
    <col min="10" max="16384" width="9.140625" style="40"/>
  </cols>
  <sheetData>
    <row r="2" spans="2:9" ht="15.6">
      <c r="B2" s="39" t="s">
        <v>0</v>
      </c>
    </row>
    <row r="4" spans="2:9" ht="14.25" thickBot="1">
      <c r="B4" s="41" t="s">
        <v>1</v>
      </c>
    </row>
    <row r="5" spans="2:9" ht="51.6">
      <c r="B5" s="42"/>
      <c r="C5" s="43" t="s">
        <v>2</v>
      </c>
      <c r="D5" s="43" t="s">
        <v>3</v>
      </c>
      <c r="E5" s="43" t="s">
        <v>4</v>
      </c>
      <c r="F5" s="43" t="s">
        <v>5</v>
      </c>
      <c r="G5" s="43" t="s">
        <v>6</v>
      </c>
      <c r="H5" s="43" t="s">
        <v>5</v>
      </c>
      <c r="I5" s="44" t="s">
        <v>6</v>
      </c>
    </row>
    <row r="6" spans="2:9" ht="16.350000000000001">
      <c r="B6" s="45"/>
      <c r="C6" s="46" t="s">
        <v>7</v>
      </c>
      <c r="D6" s="46" t="s">
        <v>8</v>
      </c>
      <c r="E6" s="46" t="s">
        <v>9</v>
      </c>
      <c r="F6" s="46" t="s">
        <v>10</v>
      </c>
      <c r="G6" s="46" t="s">
        <v>11</v>
      </c>
      <c r="H6" s="46" t="s">
        <v>12</v>
      </c>
      <c r="I6" s="47" t="s">
        <v>13</v>
      </c>
    </row>
    <row r="7" spans="2:9" ht="15">
      <c r="B7" s="48" t="s">
        <v>14</v>
      </c>
      <c r="C7" s="49">
        <v>17023.8</v>
      </c>
      <c r="D7" s="49">
        <v>47860</v>
      </c>
      <c r="E7" s="49"/>
      <c r="F7" s="49">
        <v>20996.9</v>
      </c>
      <c r="G7" s="49">
        <v>21688.2</v>
      </c>
      <c r="H7" s="49"/>
      <c r="I7" s="50"/>
    </row>
    <row r="8" spans="2:9" ht="15">
      <c r="B8" s="48" t="s">
        <v>15</v>
      </c>
      <c r="C8" s="49">
        <v>7391.2</v>
      </c>
      <c r="D8" s="49">
        <v>34351.700000000004</v>
      </c>
      <c r="E8" s="49"/>
      <c r="F8" s="49">
        <v>45266.6</v>
      </c>
      <c r="G8" s="49">
        <v>7935.8</v>
      </c>
      <c r="H8" s="49"/>
      <c r="I8" s="50"/>
    </row>
    <row r="9" spans="2:9" ht="15">
      <c r="B9" s="48" t="s">
        <v>16</v>
      </c>
      <c r="C9" s="49">
        <v>4094.6000000000022</v>
      </c>
      <c r="D9" s="49">
        <v>16259.8</v>
      </c>
      <c r="E9" s="49">
        <v>137017.29999999999</v>
      </c>
      <c r="F9" s="49">
        <v>11204.8</v>
      </c>
      <c r="G9" s="49">
        <v>21089.599999999999</v>
      </c>
      <c r="H9" s="49"/>
      <c r="I9" s="50"/>
    </row>
    <row r="10" spans="2:9" ht="15">
      <c r="B10" s="48" t="s">
        <v>17</v>
      </c>
      <c r="C10" s="49">
        <v>1656.5</v>
      </c>
      <c r="D10" s="49">
        <v>7464.6</v>
      </c>
      <c r="E10" s="49">
        <v>17571.3</v>
      </c>
      <c r="F10" s="49"/>
      <c r="G10" s="49"/>
      <c r="H10" s="49">
        <v>2109.5030000000002</v>
      </c>
      <c r="I10" s="50">
        <v>32467</v>
      </c>
    </row>
    <row r="11" spans="2:9" ht="15">
      <c r="B11" s="48" t="s">
        <v>18</v>
      </c>
      <c r="C11" s="49">
        <v>6227.6934486274804</v>
      </c>
      <c r="D11" s="49">
        <v>15623.048922000018</v>
      </c>
      <c r="E11" s="49"/>
      <c r="F11" s="49"/>
      <c r="G11" s="49"/>
      <c r="H11" s="49"/>
      <c r="I11" s="50"/>
    </row>
    <row r="12" spans="2:9" ht="15">
      <c r="B12" s="48" t="s">
        <v>19</v>
      </c>
      <c r="C12" s="49">
        <v>3954.96</v>
      </c>
      <c r="D12" s="49">
        <v>1957.92</v>
      </c>
      <c r="E12" s="49"/>
      <c r="F12" s="49"/>
      <c r="G12" s="49"/>
      <c r="H12" s="49"/>
      <c r="I12" s="50"/>
    </row>
    <row r="13" spans="2:9" ht="15">
      <c r="B13" s="82" t="s">
        <v>20</v>
      </c>
      <c r="C13" s="51">
        <v>19.806000000000001</v>
      </c>
      <c r="D13" s="49"/>
      <c r="E13" s="49">
        <v>81695</v>
      </c>
      <c r="F13" s="49">
        <v>4227</v>
      </c>
      <c r="G13" s="49">
        <v>22840</v>
      </c>
      <c r="H13" s="49"/>
      <c r="I13" s="50"/>
    </row>
    <row r="14" spans="2:9" ht="14.25" thickBot="1">
      <c r="B14" s="52" t="s">
        <v>21</v>
      </c>
      <c r="C14" s="53"/>
      <c r="D14" s="54">
        <f>SUM(D7:D13)</f>
        <v>123517.06892200003</v>
      </c>
      <c r="E14" s="54">
        <f>SUM(E7:E13)</f>
        <v>236283.59999999998</v>
      </c>
      <c r="F14" s="53"/>
      <c r="G14" s="53"/>
      <c r="H14" s="53"/>
      <c r="I14" s="55"/>
    </row>
    <row r="15" spans="2:9" customFormat="1" ht="15.6" customHeight="1">
      <c r="B15" s="83" t="s">
        <v>22</v>
      </c>
    </row>
    <row r="16" spans="2:9">
      <c r="B16" s="83" t="s">
        <v>23</v>
      </c>
    </row>
    <row r="17" spans="2:5">
      <c r="B17" s="83" t="s">
        <v>24</v>
      </c>
    </row>
    <row r="18" spans="2:5" ht="13.7">
      <c r="B18" s="41"/>
      <c r="C18" s="41"/>
      <c r="D18" s="41"/>
      <c r="E18" s="41"/>
    </row>
    <row r="19" spans="2:5" ht="13.7">
      <c r="B19" s="41"/>
      <c r="C19" s="41"/>
      <c r="D19" s="41"/>
      <c r="E19" s="41"/>
    </row>
    <row r="20" spans="2:5" ht="14.25" thickBot="1">
      <c r="B20" s="41" t="s">
        <v>25</v>
      </c>
      <c r="C20" s="41"/>
      <c r="D20" s="41"/>
      <c r="E20" s="41"/>
    </row>
    <row r="21" spans="2:5" ht="31.7" customHeight="1">
      <c r="B21" s="56" t="s">
        <v>26</v>
      </c>
      <c r="C21" s="43" t="s">
        <v>27</v>
      </c>
      <c r="D21" s="57" t="s">
        <v>28</v>
      </c>
      <c r="E21" s="41"/>
    </row>
    <row r="22" spans="2:5" ht="13.7">
      <c r="B22" s="58" t="s">
        <v>29</v>
      </c>
      <c r="C22" s="46" t="s">
        <v>30</v>
      </c>
      <c r="D22" s="59">
        <v>0.95</v>
      </c>
      <c r="E22" s="41"/>
    </row>
    <row r="23" spans="2:5" ht="13.7">
      <c r="B23" s="58" t="s">
        <v>31</v>
      </c>
      <c r="C23" s="46" t="s">
        <v>32</v>
      </c>
      <c r="D23" s="59">
        <v>0.95</v>
      </c>
      <c r="E23" s="41"/>
    </row>
    <row r="24" spans="2:5" ht="14.25" thickBot="1">
      <c r="B24" s="60" t="s">
        <v>33</v>
      </c>
      <c r="C24" s="61" t="s">
        <v>34</v>
      </c>
      <c r="D24" s="62">
        <v>0.85899999999999999</v>
      </c>
      <c r="E24" s="41"/>
    </row>
    <row r="25" spans="2:5" ht="13.7">
      <c r="B25" s="84" t="s">
        <v>35</v>
      </c>
      <c r="C25" s="41"/>
      <c r="D25" s="63"/>
      <c r="E25" s="41"/>
    </row>
    <row r="26" spans="2:5" ht="13.7">
      <c r="B26" s="41"/>
      <c r="C26" s="41"/>
      <c r="D26" s="63"/>
      <c r="E26" s="41"/>
    </row>
    <row r="27" spans="2:5" ht="13.7">
      <c r="B27" s="41"/>
      <c r="C27" s="41"/>
      <c r="D27" s="63"/>
      <c r="E27" s="41"/>
    </row>
    <row r="28" spans="2:5" ht="14.25" thickBot="1">
      <c r="B28" s="41" t="s">
        <v>36</v>
      </c>
      <c r="C28" s="41"/>
      <c r="D28" s="63"/>
      <c r="E28" s="41"/>
    </row>
    <row r="29" spans="2:5" ht="24.75" customHeight="1">
      <c r="B29" s="56" t="s">
        <v>26</v>
      </c>
      <c r="C29" s="64" t="s">
        <v>37</v>
      </c>
      <c r="D29" s="44" t="s">
        <v>38</v>
      </c>
      <c r="E29" s="41"/>
    </row>
    <row r="30" spans="2:5" ht="13.7">
      <c r="B30" s="58" t="s">
        <v>31</v>
      </c>
      <c r="C30" s="46" t="s">
        <v>39</v>
      </c>
      <c r="D30" s="59">
        <f>SUM(D7:D12)*D22/1000</f>
        <v>117.34121547590003</v>
      </c>
      <c r="E30" s="41"/>
    </row>
    <row r="31" spans="2:5" ht="14.25" thickBot="1">
      <c r="B31" s="60" t="s">
        <v>33</v>
      </c>
      <c r="C31" s="61" t="s">
        <v>40</v>
      </c>
      <c r="D31" s="62">
        <f>SUM(E7:E13)*D24/1000</f>
        <v>202.96761239999998</v>
      </c>
      <c r="E31" s="41"/>
    </row>
    <row r="32" spans="2:5" ht="13.7">
      <c r="B32" s="84" t="s">
        <v>35</v>
      </c>
      <c r="C32" s="41"/>
      <c r="D32" s="41"/>
      <c r="E32" s="41"/>
    </row>
    <row r="33" spans="2:5" ht="13.7">
      <c r="B33" s="41"/>
      <c r="C33" s="41"/>
      <c r="D33" s="41"/>
      <c r="E33" s="41"/>
    </row>
    <row r="36" spans="2:5" ht="13.7">
      <c r="B36" s="4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5"/>
  <sheetViews>
    <sheetView zoomScaleNormal="100" workbookViewId="0">
      <selection activeCell="B4" sqref="B4"/>
    </sheetView>
  </sheetViews>
  <sheetFormatPr defaultRowHeight="12.95"/>
  <cols>
    <col min="1" max="1" width="2.85546875" customWidth="1"/>
    <col min="2" max="2" width="15" customWidth="1"/>
    <col min="3" max="3" width="12.85546875" customWidth="1"/>
    <col min="4" max="4" width="36" customWidth="1"/>
    <col min="5" max="5" width="10" customWidth="1"/>
    <col min="6" max="6" width="11.42578125" bestFit="1" customWidth="1"/>
    <col min="7" max="7" width="12" customWidth="1"/>
    <col min="8" max="8" width="14.28515625" customWidth="1"/>
    <col min="9" max="9" width="12.85546875" customWidth="1"/>
    <col min="10" max="10" width="10.42578125" customWidth="1"/>
    <col min="11" max="12" width="10.7109375" bestFit="1" customWidth="1"/>
  </cols>
  <sheetData>
    <row r="2" spans="2:9" ht="15.6">
      <c r="B2" s="5" t="s">
        <v>41</v>
      </c>
    </row>
    <row r="4" spans="2:9" ht="18.399999999999999">
      <c r="B4" s="85" t="s">
        <v>42</v>
      </c>
      <c r="C4" s="16"/>
      <c r="D4" s="17"/>
      <c r="E4" s="17"/>
      <c r="F4" s="17"/>
      <c r="G4" s="17"/>
      <c r="H4" s="17"/>
      <c r="I4" s="17"/>
    </row>
    <row r="5" spans="2:9" ht="12.75" customHeight="1">
      <c r="B5" s="18"/>
      <c r="C5" s="17"/>
      <c r="D5" s="17"/>
      <c r="E5" s="17"/>
      <c r="F5" s="17"/>
      <c r="G5" s="17"/>
      <c r="H5" s="17"/>
      <c r="I5" s="17"/>
    </row>
    <row r="6" spans="2:9" ht="17.45" customHeight="1">
      <c r="B6" s="18" t="s">
        <v>43</v>
      </c>
      <c r="C6" s="17"/>
      <c r="D6" s="17"/>
      <c r="E6" s="17"/>
      <c r="F6" s="17"/>
      <c r="G6" s="17"/>
      <c r="H6" s="17"/>
      <c r="I6" s="17"/>
    </row>
    <row r="7" spans="2:9" ht="15.75" customHeight="1">
      <c r="B7" s="33" t="s">
        <v>44</v>
      </c>
      <c r="C7" s="36" t="s">
        <v>45</v>
      </c>
      <c r="D7" s="36" t="s">
        <v>46</v>
      </c>
      <c r="E7" s="36" t="s">
        <v>47</v>
      </c>
      <c r="F7" s="36" t="s">
        <v>48</v>
      </c>
      <c r="G7" s="36" t="s">
        <v>49</v>
      </c>
      <c r="H7" s="36" t="s">
        <v>50</v>
      </c>
      <c r="I7" s="36" t="s">
        <v>51</v>
      </c>
    </row>
    <row r="8" spans="2:9" ht="47.25" customHeight="1" thickBot="1">
      <c r="B8" s="26" t="s">
        <v>52</v>
      </c>
      <c r="C8" s="35" t="s">
        <v>53</v>
      </c>
      <c r="D8" s="35" t="s">
        <v>54</v>
      </c>
      <c r="E8" s="35" t="s">
        <v>37</v>
      </c>
      <c r="F8" s="35" t="s">
        <v>55</v>
      </c>
      <c r="G8" s="35" t="s">
        <v>56</v>
      </c>
      <c r="H8" s="35" t="s">
        <v>57</v>
      </c>
      <c r="I8" s="35" t="s">
        <v>58</v>
      </c>
    </row>
    <row r="9" spans="2:9" ht="15.75" customHeight="1">
      <c r="B9" s="21" t="s">
        <v>59</v>
      </c>
      <c r="C9" s="23" t="s">
        <v>60</v>
      </c>
      <c r="D9" s="23" t="s">
        <v>61</v>
      </c>
      <c r="E9" s="21" t="s">
        <v>62</v>
      </c>
      <c r="F9" s="21"/>
      <c r="G9" s="21" t="s">
        <v>63</v>
      </c>
      <c r="H9" s="21" t="s">
        <v>64</v>
      </c>
      <c r="I9" s="21" t="s">
        <v>65</v>
      </c>
    </row>
    <row r="10" spans="2:9" ht="15.75" customHeight="1">
      <c r="B10" s="29" t="s">
        <v>59</v>
      </c>
      <c r="C10" s="30" t="s">
        <v>66</v>
      </c>
      <c r="D10" s="30" t="s">
        <v>67</v>
      </c>
      <c r="E10" s="29" t="s">
        <v>62</v>
      </c>
      <c r="F10" s="29"/>
      <c r="G10" s="29" t="s">
        <v>63</v>
      </c>
      <c r="H10" s="29" t="s">
        <v>64</v>
      </c>
      <c r="I10" s="29"/>
    </row>
    <row r="11" spans="2:9" ht="15.75" customHeight="1">
      <c r="B11" s="21" t="s">
        <v>68</v>
      </c>
      <c r="C11" s="23" t="s">
        <v>69</v>
      </c>
      <c r="D11" s="23" t="s">
        <v>70</v>
      </c>
      <c r="E11" s="23" t="s">
        <v>62</v>
      </c>
      <c r="F11" s="21"/>
      <c r="G11" s="21"/>
      <c r="H11" s="21"/>
      <c r="I11" s="23" t="s">
        <v>65</v>
      </c>
    </row>
    <row r="12" spans="2:9" ht="15.75" customHeight="1" thickBot="1">
      <c r="B12" s="27" t="s">
        <v>68</v>
      </c>
      <c r="C12" s="27" t="s">
        <v>71</v>
      </c>
      <c r="D12" s="27" t="s">
        <v>72</v>
      </c>
      <c r="E12" s="27" t="s">
        <v>62</v>
      </c>
      <c r="F12" s="27"/>
      <c r="G12" s="27"/>
      <c r="H12" s="27"/>
      <c r="I12" s="27"/>
    </row>
    <row r="16" spans="2:9">
      <c r="B16" s="1"/>
    </row>
    <row r="25" ht="13.7" customHeight="1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10"/>
  <sheetViews>
    <sheetView workbookViewId="0">
      <selection activeCell="B4" sqref="B4"/>
    </sheetView>
  </sheetViews>
  <sheetFormatPr defaultRowHeight="12.95"/>
  <cols>
    <col min="1" max="1" width="2.85546875" customWidth="1"/>
    <col min="2" max="2" width="20.85546875" customWidth="1"/>
    <col min="3" max="3" width="14.5703125" customWidth="1"/>
    <col min="4" max="4" width="26.42578125" customWidth="1"/>
    <col min="5" max="5" width="45.7109375" customWidth="1"/>
    <col min="6" max="8" width="11" customWidth="1"/>
    <col min="9" max="9" width="14.140625" customWidth="1"/>
    <col min="10" max="10" width="11" customWidth="1"/>
  </cols>
  <sheetData>
    <row r="2" spans="2:10" ht="15.75" customHeight="1">
      <c r="B2" s="32" t="s">
        <v>73</v>
      </c>
      <c r="C2" s="5"/>
      <c r="D2" s="5"/>
    </row>
    <row r="4" spans="2:10" ht="15.75" customHeight="1">
      <c r="B4" s="85" t="s">
        <v>74</v>
      </c>
      <c r="C4" s="19"/>
      <c r="D4" s="19"/>
      <c r="E4" s="19"/>
      <c r="F4" s="19"/>
      <c r="G4" s="19"/>
      <c r="H4" s="19"/>
      <c r="I4" s="19"/>
      <c r="J4" s="19"/>
    </row>
    <row r="5" spans="2:10" ht="13.7">
      <c r="B5" s="18"/>
      <c r="C5" s="18"/>
      <c r="D5" s="19"/>
      <c r="E5" s="19"/>
      <c r="F5" s="19"/>
      <c r="G5" s="19"/>
      <c r="H5" s="19"/>
      <c r="I5" s="19"/>
      <c r="J5" s="19"/>
    </row>
    <row r="6" spans="2:10" ht="15.75" customHeight="1">
      <c r="B6" s="18" t="s">
        <v>75</v>
      </c>
      <c r="C6" s="18"/>
      <c r="D6" s="19"/>
      <c r="E6" s="19"/>
      <c r="F6" s="19"/>
      <c r="G6" s="19"/>
      <c r="H6" s="19"/>
      <c r="I6" s="19"/>
      <c r="J6" s="19"/>
    </row>
    <row r="7" spans="2:10" ht="15.75" customHeight="1">
      <c r="B7" s="33" t="s">
        <v>76</v>
      </c>
      <c r="C7" s="33" t="s">
        <v>77</v>
      </c>
      <c r="D7" s="33" t="s">
        <v>78</v>
      </c>
      <c r="E7" s="33" t="s">
        <v>79</v>
      </c>
      <c r="F7" s="33" t="s">
        <v>80</v>
      </c>
      <c r="G7" s="33" t="s">
        <v>81</v>
      </c>
      <c r="H7" s="33" t="s">
        <v>82</v>
      </c>
      <c r="I7" s="33" t="s">
        <v>83</v>
      </c>
      <c r="J7" s="33" t="s">
        <v>84</v>
      </c>
    </row>
    <row r="8" spans="2:10" ht="39.4" thickBot="1">
      <c r="B8" s="34" t="s">
        <v>85</v>
      </c>
      <c r="C8" s="34" t="s">
        <v>86</v>
      </c>
      <c r="D8" s="34" t="s">
        <v>87</v>
      </c>
      <c r="E8" s="34" t="s">
        <v>88</v>
      </c>
      <c r="F8" s="34" t="s">
        <v>89</v>
      </c>
      <c r="G8" s="34" t="s">
        <v>90</v>
      </c>
      <c r="H8" s="34" t="s">
        <v>91</v>
      </c>
      <c r="I8" s="81" t="s">
        <v>92</v>
      </c>
      <c r="J8" s="81" t="s">
        <v>93</v>
      </c>
    </row>
    <row r="9" spans="2:10" ht="15.75" customHeight="1">
      <c r="B9" s="21" t="s">
        <v>94</v>
      </c>
      <c r="C9" s="21" t="s">
        <v>95</v>
      </c>
      <c r="D9" s="23" t="s">
        <v>96</v>
      </c>
      <c r="E9" s="23" t="s">
        <v>97</v>
      </c>
      <c r="F9" s="21" t="s">
        <v>62</v>
      </c>
      <c r="G9" s="21" t="s">
        <v>62</v>
      </c>
      <c r="H9" s="21" t="s">
        <v>63</v>
      </c>
      <c r="I9" s="21"/>
      <c r="J9" s="21" t="s">
        <v>98</v>
      </c>
    </row>
    <row r="10" spans="2:10" ht="15.75" customHeight="1" thickBot="1">
      <c r="B10" s="27" t="s">
        <v>94</v>
      </c>
      <c r="C10" s="27" t="s">
        <v>95</v>
      </c>
      <c r="D10" s="28" t="s">
        <v>99</v>
      </c>
      <c r="E10" s="28" t="s">
        <v>97</v>
      </c>
      <c r="F10" s="27" t="s">
        <v>62</v>
      </c>
      <c r="G10" s="27" t="s">
        <v>62</v>
      </c>
      <c r="H10" s="27" t="s">
        <v>63</v>
      </c>
      <c r="I10" s="27"/>
      <c r="J10" s="27" t="s">
        <v>98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7"/>
  <sheetViews>
    <sheetView zoomScaleNormal="100" workbookViewId="0">
      <selection activeCell="B2" sqref="B2"/>
    </sheetView>
  </sheetViews>
  <sheetFormatPr defaultRowHeight="12.95"/>
  <cols>
    <col min="1" max="1" width="2.85546875" customWidth="1"/>
    <col min="2" max="2" width="31.28515625" customWidth="1"/>
    <col min="3" max="3" width="47.85546875" bestFit="1" customWidth="1"/>
    <col min="4" max="4" width="17" customWidth="1"/>
    <col min="5" max="5" width="19.85546875" customWidth="1"/>
    <col min="6" max="6" width="17.140625" customWidth="1"/>
    <col min="7" max="7" width="16.140625" customWidth="1"/>
  </cols>
  <sheetData>
    <row r="2" spans="2:7" ht="18.399999999999999">
      <c r="B2" s="85" t="s">
        <v>100</v>
      </c>
      <c r="C2" s="15"/>
      <c r="E2" s="3"/>
    </row>
    <row r="3" spans="2:7" ht="13.7">
      <c r="B3" s="4"/>
      <c r="C3" s="2"/>
      <c r="E3" s="3"/>
    </row>
    <row r="4" spans="2:7" ht="15.75" customHeight="1">
      <c r="E4" s="7" t="s">
        <v>101</v>
      </c>
      <c r="F4" s="6"/>
      <c r="G4" s="6"/>
    </row>
    <row r="5" spans="2:7" ht="15.75" customHeight="1">
      <c r="B5" s="37" t="s">
        <v>78</v>
      </c>
      <c r="C5" s="38" t="s">
        <v>102</v>
      </c>
      <c r="D5" s="37" t="s">
        <v>103</v>
      </c>
      <c r="E5" s="37" t="s">
        <v>104</v>
      </c>
      <c r="F5" s="8" t="s">
        <v>105</v>
      </c>
      <c r="G5" s="8" t="s">
        <v>106</v>
      </c>
    </row>
    <row r="6" spans="2:7" ht="31.7" customHeight="1" thickBot="1">
      <c r="B6" s="26" t="s">
        <v>107</v>
      </c>
      <c r="C6" s="26" t="s">
        <v>88</v>
      </c>
      <c r="D6" s="26" t="s">
        <v>108</v>
      </c>
      <c r="E6" s="26" t="s">
        <v>109</v>
      </c>
      <c r="F6" s="26" t="s">
        <v>28</v>
      </c>
      <c r="G6" s="26" t="s">
        <v>110</v>
      </c>
    </row>
    <row r="7" spans="2:7" ht="15.75" customHeight="1">
      <c r="B7" s="20" t="str">
        <f>SEC_Processes!D9</f>
        <v>ELE_ODBIORY_KONCOWE</v>
      </c>
      <c r="C7" s="20" t="str">
        <f>SEC_Processes!E9</f>
        <v>Procesy przetwarzania energii finalnej na uzyteczna</v>
      </c>
      <c r="D7" s="20" t="str">
        <f>SEC_Comm!C9</f>
        <v>ELE_nn</v>
      </c>
      <c r="E7" s="20" t="str">
        <f>SEC_Comm!C11</f>
        <v>ELE_UZYTEK</v>
      </c>
      <c r="F7" s="74">
        <v>1</v>
      </c>
      <c r="G7" s="76">
        <v>1</v>
      </c>
    </row>
    <row r="8" spans="2:7" ht="15.75" customHeight="1" thickBot="1">
      <c r="B8" s="25" t="str">
        <f>SEC_Processes!D10</f>
        <v>CIEP_ODBIORY_KONCOWE</v>
      </c>
      <c r="C8" s="25" t="str">
        <f>SEC_Processes!E10</f>
        <v>Procesy przetwarzania energii finalnej na uzyteczna</v>
      </c>
      <c r="D8" s="25" t="str">
        <f>SEC_Comm!C10</f>
        <v>CIEP_NT</v>
      </c>
      <c r="E8" s="25" t="str">
        <f>SEC_Comm!C12</f>
        <v>CIEP_UZYTEK</v>
      </c>
      <c r="F8" s="75">
        <v>1</v>
      </c>
      <c r="G8" s="77">
        <v>1</v>
      </c>
    </row>
    <row r="17" spans="4:4">
      <c r="D17" s="31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U44"/>
  <sheetViews>
    <sheetView zoomScaleNormal="100" workbookViewId="0">
      <selection activeCell="B2" sqref="B2"/>
    </sheetView>
  </sheetViews>
  <sheetFormatPr defaultRowHeight="12.95"/>
  <cols>
    <col min="1" max="1" width="2.85546875" customWidth="1"/>
    <col min="2" max="2" width="13" customWidth="1"/>
    <col min="3" max="3" width="12.140625" customWidth="1"/>
    <col min="4" max="4" width="8.28515625" customWidth="1"/>
    <col min="5" max="6" width="8.5703125" customWidth="1"/>
    <col min="7" max="7" width="11" bestFit="1" customWidth="1"/>
    <col min="8" max="8" width="12.42578125" customWidth="1"/>
    <col min="9" max="9" width="9.140625" customWidth="1"/>
    <col min="15" max="15" width="14.5703125" customWidth="1"/>
    <col min="16" max="16" width="15.140625" customWidth="1"/>
    <col min="18" max="18" width="9.7109375" customWidth="1"/>
  </cols>
  <sheetData>
    <row r="2" spans="2:47" ht="19.149999999999999" thickBot="1">
      <c r="B2" s="85" t="s">
        <v>111</v>
      </c>
      <c r="C2" s="15"/>
      <c r="O2" s="65" t="s">
        <v>77</v>
      </c>
      <c r="P2" s="65" t="s">
        <v>112</v>
      </c>
      <c r="Q2" s="65" t="s">
        <v>113</v>
      </c>
      <c r="R2" s="65" t="s">
        <v>114</v>
      </c>
      <c r="S2" s="65" t="s">
        <v>115</v>
      </c>
      <c r="T2" s="65" t="s">
        <v>116</v>
      </c>
      <c r="U2" s="65" t="s">
        <v>117</v>
      </c>
      <c r="V2" s="65" t="s">
        <v>118</v>
      </c>
      <c r="W2" s="65" t="s">
        <v>119</v>
      </c>
      <c r="X2" s="65" t="s">
        <v>120</v>
      </c>
      <c r="Y2" s="65" t="s">
        <v>121</v>
      </c>
      <c r="Z2" s="65" t="s">
        <v>122</v>
      </c>
      <c r="AA2" s="65" t="s">
        <v>123</v>
      </c>
      <c r="AB2" s="65" t="s">
        <v>124</v>
      </c>
      <c r="AC2" s="65" t="s">
        <v>125</v>
      </c>
      <c r="AD2" s="65" t="s">
        <v>126</v>
      </c>
      <c r="AE2" s="65" t="s">
        <v>127</v>
      </c>
      <c r="AF2" s="65" t="s">
        <v>128</v>
      </c>
      <c r="AG2" s="65" t="s">
        <v>129</v>
      </c>
      <c r="AH2" s="65" t="s">
        <v>130</v>
      </c>
      <c r="AI2" s="65" t="s">
        <v>131</v>
      </c>
      <c r="AJ2" s="65" t="s">
        <v>132</v>
      </c>
      <c r="AK2" s="65" t="s">
        <v>133</v>
      </c>
      <c r="AL2" s="65" t="s">
        <v>134</v>
      </c>
      <c r="AM2" s="65" t="s">
        <v>135</v>
      </c>
      <c r="AN2" s="65" t="s">
        <v>136</v>
      </c>
      <c r="AO2" s="65" t="s">
        <v>137</v>
      </c>
      <c r="AP2" s="65" t="s">
        <v>138</v>
      </c>
      <c r="AQ2" s="65" t="s">
        <v>139</v>
      </c>
      <c r="AR2" s="65" t="s">
        <v>140</v>
      </c>
      <c r="AS2" s="65" t="s">
        <v>141</v>
      </c>
      <c r="AT2" s="65" t="s">
        <v>142</v>
      </c>
      <c r="AU2" s="65" t="s">
        <v>143</v>
      </c>
    </row>
    <row r="3" spans="2:47">
      <c r="O3" s="66" t="s">
        <v>95</v>
      </c>
      <c r="P3" s="66" t="s">
        <v>144</v>
      </c>
      <c r="Q3" s="67">
        <v>1</v>
      </c>
      <c r="R3" s="67">
        <v>1.0186500000000001</v>
      </c>
      <c r="S3" s="67">
        <v>1.0376478225000001</v>
      </c>
      <c r="T3" s="67">
        <v>1.0569999543896251</v>
      </c>
      <c r="U3" s="67">
        <v>1.0767130035389918</v>
      </c>
      <c r="V3" s="67">
        <v>1.096793701054994</v>
      </c>
      <c r="W3" s="67">
        <v>1.1147591818782747</v>
      </c>
      <c r="X3" s="67">
        <v>1.1330189372774411</v>
      </c>
      <c r="Y3" s="67">
        <v>1.1515777874700455</v>
      </c>
      <c r="Z3" s="67">
        <v>1.170440631628805</v>
      </c>
      <c r="AA3" s="67">
        <v>1.1896124491748847</v>
      </c>
      <c r="AB3" s="67">
        <v>1.2069569986838546</v>
      </c>
      <c r="AC3" s="67">
        <v>1.2245544317246653</v>
      </c>
      <c r="AD3" s="67">
        <v>1.2424084353392111</v>
      </c>
      <c r="AE3" s="67">
        <v>1.2605227503264567</v>
      </c>
      <c r="AF3" s="67">
        <v>1.2789011720262164</v>
      </c>
      <c r="AG3" s="67">
        <v>1.2951432169109494</v>
      </c>
      <c r="AH3" s="67">
        <v>1.3115915357657184</v>
      </c>
      <c r="AI3" s="67">
        <v>1.3282487482699428</v>
      </c>
      <c r="AJ3" s="67">
        <v>1.3451175073729711</v>
      </c>
      <c r="AK3" s="67">
        <v>1.3622004997166077</v>
      </c>
      <c r="AL3" s="67">
        <v>1.3745844494683608</v>
      </c>
      <c r="AM3" s="67">
        <v>1.3870809833892472</v>
      </c>
      <c r="AN3" s="67">
        <v>1.3996911249972399</v>
      </c>
      <c r="AO3" s="67">
        <v>1.4124159071152516</v>
      </c>
      <c r="AP3" s="67">
        <v>1.425256371955729</v>
      </c>
      <c r="AQ3" s="67">
        <v>1.4340861966125051</v>
      </c>
      <c r="AR3" s="67">
        <v>1.4429707242721961</v>
      </c>
      <c r="AS3" s="67">
        <v>1.4519102938337769</v>
      </c>
      <c r="AT3" s="67">
        <v>1.4609052462957883</v>
      </c>
      <c r="AU3" s="67">
        <v>1.4699559247693428</v>
      </c>
    </row>
    <row r="4" spans="2:47" ht="14.25" thickBot="1">
      <c r="B4" s="9" t="s">
        <v>145</v>
      </c>
      <c r="C4" s="10"/>
      <c r="O4" s="68" t="s">
        <v>95</v>
      </c>
      <c r="P4" s="68" t="s">
        <v>146</v>
      </c>
      <c r="Q4" s="69">
        <v>1</v>
      </c>
      <c r="R4" s="69">
        <v>0.99823036481072691</v>
      </c>
      <c r="S4" s="69">
        <v>0.99631871829851559</v>
      </c>
      <c r="T4" s="69">
        <v>0.99425166168455847</v>
      </c>
      <c r="U4" s="69">
        <v>0.99201595351426108</v>
      </c>
      <c r="V4" s="69">
        <v>0.98960763446159616</v>
      </c>
      <c r="W4" s="69">
        <v>0.98702662586445722</v>
      </c>
      <c r="X4" s="69">
        <v>0.98427321615056806</v>
      </c>
      <c r="Y4" s="69">
        <v>0.98135010605225204</v>
      </c>
      <c r="Z4" s="69">
        <v>0.97826295924117712</v>
      </c>
      <c r="AA4" s="69">
        <v>0.97501872420341773</v>
      </c>
      <c r="AB4" s="69">
        <v>0.97159852203341335</v>
      </c>
      <c r="AC4" s="69">
        <v>0.96801554174435422</v>
      </c>
      <c r="AD4" s="69">
        <v>0.96428436204664536</v>
      </c>
      <c r="AE4" s="69">
        <v>0.96042137087914137</v>
      </c>
      <c r="AF4" s="69">
        <v>0.95644654841689369</v>
      </c>
      <c r="AG4" s="69">
        <v>0.95236225452309731</v>
      </c>
      <c r="AH4" s="69">
        <v>0.94818503446082003</v>
      </c>
      <c r="AI4" s="69">
        <v>0.9439304895478513</v>
      </c>
      <c r="AJ4" s="69">
        <v>0.93961485039883264</v>
      </c>
      <c r="AK4" s="69">
        <v>0.93524608810722298</v>
      </c>
      <c r="AL4" s="69">
        <v>0.93084145589504841</v>
      </c>
      <c r="AM4" s="69">
        <v>0.92640208125250212</v>
      </c>
      <c r="AN4" s="69">
        <v>0.92193729874955566</v>
      </c>
      <c r="AO4" s="69">
        <v>0.91744718704831563</v>
      </c>
      <c r="AP4" s="69">
        <v>0.91293628233025692</v>
      </c>
      <c r="AQ4" s="69">
        <v>0.90840875368702401</v>
      </c>
      <c r="AR4" s="69">
        <v>0.90386465356002144</v>
      </c>
      <c r="AS4" s="69">
        <v>0.89931360494694446</v>
      </c>
      <c r="AT4" s="69">
        <v>0.89475864944924466</v>
      </c>
      <c r="AU4" s="69">
        <v>0.89020775816038067</v>
      </c>
    </row>
    <row r="5" spans="2:47" ht="13.7">
      <c r="B5" s="37" t="s">
        <v>45</v>
      </c>
      <c r="C5" s="37">
        <v>2020</v>
      </c>
      <c r="D5" s="37">
        <v>2025</v>
      </c>
      <c r="E5" s="37">
        <v>2030</v>
      </c>
      <c r="F5" s="37">
        <v>2035</v>
      </c>
      <c r="G5" s="37">
        <v>2040</v>
      </c>
      <c r="H5" s="37">
        <v>2045</v>
      </c>
      <c r="I5" s="37">
        <v>2050</v>
      </c>
    </row>
    <row r="6" spans="2:47" ht="15.75" customHeight="1" thickBot="1">
      <c r="B6" s="26" t="s">
        <v>147</v>
      </c>
      <c r="C6" s="86" t="s">
        <v>148</v>
      </c>
      <c r="D6" s="86"/>
      <c r="E6" s="86"/>
      <c r="F6" s="86"/>
      <c r="G6" s="86"/>
      <c r="H6" s="86"/>
      <c r="I6" s="86"/>
    </row>
    <row r="7" spans="2:47" ht="15.75" customHeight="1" thickBot="1">
      <c r="B7" s="22" t="str">
        <f>SEC_Comm!C11</f>
        <v>ELE_UZYTEK</v>
      </c>
      <c r="C7" s="78">
        <f>BILANS!D30*3.6</f>
        <v>422.42837571324009</v>
      </c>
      <c r="D7" s="22"/>
      <c r="E7" s="22"/>
      <c r="F7" s="22"/>
      <c r="G7" s="22"/>
      <c r="H7" s="22"/>
      <c r="I7" s="22"/>
      <c r="O7" s="65" t="s">
        <v>77</v>
      </c>
      <c r="P7" s="65" t="s">
        <v>149</v>
      </c>
      <c r="Q7" s="65" t="s">
        <v>112</v>
      </c>
      <c r="R7" s="65" t="s">
        <v>150</v>
      </c>
      <c r="S7" s="65" t="s">
        <v>151</v>
      </c>
    </row>
    <row r="8" spans="2:47" ht="15.75" customHeight="1" thickBot="1">
      <c r="B8" s="24" t="str">
        <f>SEC_Comm!C12</f>
        <v>CIEP_UZYTEK</v>
      </c>
      <c r="C8" s="79">
        <f>BILANS!D31</f>
        <v>202.96761239999998</v>
      </c>
      <c r="D8" s="24"/>
      <c r="E8" s="24"/>
      <c r="F8" s="24"/>
      <c r="G8" s="24"/>
      <c r="H8" s="24"/>
      <c r="I8" s="24"/>
      <c r="L8" s="1"/>
      <c r="O8" s="66" t="s">
        <v>95</v>
      </c>
      <c r="P8" s="66" t="s">
        <v>69</v>
      </c>
      <c r="Q8" s="66" t="s">
        <v>144</v>
      </c>
      <c r="R8" s="66" t="s">
        <v>152</v>
      </c>
      <c r="S8" s="66" t="s">
        <v>153</v>
      </c>
    </row>
    <row r="9" spans="2:47" ht="15.75" customHeight="1" thickBot="1">
      <c r="L9" s="1"/>
      <c r="O9" s="68" t="s">
        <v>95</v>
      </c>
      <c r="P9" s="68" t="s">
        <v>71</v>
      </c>
      <c r="Q9" s="68" t="s">
        <v>146</v>
      </c>
      <c r="R9" s="68" t="s">
        <v>154</v>
      </c>
      <c r="S9" s="68" t="s">
        <v>152</v>
      </c>
    </row>
    <row r="10" spans="2:47" ht="15.75" customHeight="1"/>
    <row r="11" spans="2:47" ht="14.25" thickBot="1">
      <c r="P11" s="65" t="s">
        <v>155</v>
      </c>
      <c r="Q11" s="65" t="s">
        <v>113</v>
      </c>
      <c r="R11" s="65" t="s">
        <v>114</v>
      </c>
      <c r="S11" s="65" t="s">
        <v>115</v>
      </c>
      <c r="T11" s="65" t="s">
        <v>116</v>
      </c>
      <c r="U11" s="65" t="s">
        <v>117</v>
      </c>
      <c r="V11" s="65" t="s">
        <v>118</v>
      </c>
      <c r="W11" s="65" t="s">
        <v>119</v>
      </c>
      <c r="X11" s="65" t="s">
        <v>120</v>
      </c>
      <c r="Y11" s="65" t="s">
        <v>121</v>
      </c>
      <c r="Z11" s="65" t="s">
        <v>122</v>
      </c>
      <c r="AA11" s="65" t="s">
        <v>123</v>
      </c>
      <c r="AB11" s="65" t="s">
        <v>124</v>
      </c>
      <c r="AC11" s="65" t="s">
        <v>125</v>
      </c>
      <c r="AD11" s="65" t="s">
        <v>126</v>
      </c>
      <c r="AE11" s="65" t="s">
        <v>127</v>
      </c>
      <c r="AF11" s="65" t="s">
        <v>128</v>
      </c>
      <c r="AG11" s="65" t="s">
        <v>129</v>
      </c>
      <c r="AH11" s="65" t="s">
        <v>130</v>
      </c>
      <c r="AI11" s="65" t="s">
        <v>131</v>
      </c>
      <c r="AJ11" s="65" t="s">
        <v>132</v>
      </c>
      <c r="AK11" s="65" t="s">
        <v>133</v>
      </c>
      <c r="AL11" s="65" t="s">
        <v>134</v>
      </c>
      <c r="AM11" s="65" t="s">
        <v>135</v>
      </c>
      <c r="AN11" s="65" t="s">
        <v>136</v>
      </c>
      <c r="AO11" s="65" t="s">
        <v>137</v>
      </c>
      <c r="AP11" s="65" t="s">
        <v>138</v>
      </c>
      <c r="AQ11" s="65" t="s">
        <v>139</v>
      </c>
      <c r="AR11" s="65" t="s">
        <v>140</v>
      </c>
      <c r="AS11" s="65" t="s">
        <v>141</v>
      </c>
      <c r="AT11" s="65" t="s">
        <v>142</v>
      </c>
      <c r="AU11" s="65" t="s">
        <v>143</v>
      </c>
    </row>
    <row r="12" spans="2:47">
      <c r="P12" s="66" t="s">
        <v>153</v>
      </c>
      <c r="Q12" s="66">
        <v>0.5</v>
      </c>
      <c r="R12" s="66">
        <v>0.5</v>
      </c>
      <c r="S12" s="66">
        <v>0.5</v>
      </c>
      <c r="T12" s="66">
        <v>0.5</v>
      </c>
      <c r="U12" s="66">
        <v>0.5</v>
      </c>
      <c r="V12" s="66">
        <v>0.5</v>
      </c>
      <c r="W12" s="66">
        <v>0.5</v>
      </c>
      <c r="X12" s="66">
        <v>0.5</v>
      </c>
      <c r="Y12" s="66">
        <v>0.5</v>
      </c>
      <c r="Z12" s="66">
        <v>0.5</v>
      </c>
      <c r="AA12" s="66">
        <v>0.5</v>
      </c>
      <c r="AB12" s="66">
        <v>0.5</v>
      </c>
      <c r="AC12" s="66">
        <v>0.5</v>
      </c>
      <c r="AD12" s="66">
        <v>0.5</v>
      </c>
      <c r="AE12" s="66">
        <v>0.5</v>
      </c>
      <c r="AF12" s="66">
        <v>0.5</v>
      </c>
      <c r="AG12" s="66">
        <v>0.5</v>
      </c>
      <c r="AH12" s="66">
        <v>0.5</v>
      </c>
      <c r="AI12" s="66">
        <v>0.5</v>
      </c>
      <c r="AJ12" s="66">
        <v>0.5</v>
      </c>
      <c r="AK12" s="66">
        <v>0.5</v>
      </c>
      <c r="AL12" s="66">
        <v>0.5</v>
      </c>
      <c r="AM12" s="66">
        <v>0.5</v>
      </c>
      <c r="AN12" s="66">
        <v>0.5</v>
      </c>
      <c r="AO12" s="66">
        <v>0.5</v>
      </c>
      <c r="AP12" s="66">
        <v>0.5</v>
      </c>
      <c r="AQ12" s="66">
        <v>0.5</v>
      </c>
      <c r="AR12" s="66">
        <v>0.5</v>
      </c>
      <c r="AS12" s="66">
        <v>0.5</v>
      </c>
      <c r="AT12" s="66">
        <v>0.5</v>
      </c>
      <c r="AU12" s="66">
        <v>0.5</v>
      </c>
    </row>
    <row r="13" spans="2:47">
      <c r="P13" s="70" t="s">
        <v>152</v>
      </c>
      <c r="Q13" s="70">
        <v>1</v>
      </c>
      <c r="R13" s="70">
        <v>1</v>
      </c>
      <c r="S13" s="70">
        <v>1</v>
      </c>
      <c r="T13" s="70">
        <v>1</v>
      </c>
      <c r="U13" s="70">
        <v>1</v>
      </c>
      <c r="V13" s="70">
        <v>1</v>
      </c>
      <c r="W13" s="70">
        <v>1</v>
      </c>
      <c r="X13" s="70">
        <v>1</v>
      </c>
      <c r="Y13" s="70">
        <v>1</v>
      </c>
      <c r="Z13" s="70">
        <v>1</v>
      </c>
      <c r="AA13" s="70">
        <v>1</v>
      </c>
      <c r="AB13" s="70">
        <v>1</v>
      </c>
      <c r="AC13" s="70">
        <v>1</v>
      </c>
      <c r="AD13" s="70">
        <v>1</v>
      </c>
      <c r="AE13" s="70">
        <v>1</v>
      </c>
      <c r="AF13" s="70">
        <v>1</v>
      </c>
      <c r="AG13" s="70">
        <v>1</v>
      </c>
      <c r="AH13" s="70">
        <v>1</v>
      </c>
      <c r="AI13" s="70">
        <v>1</v>
      </c>
      <c r="AJ13" s="70">
        <v>1</v>
      </c>
      <c r="AK13" s="70">
        <v>1</v>
      </c>
      <c r="AL13" s="70">
        <v>1</v>
      </c>
      <c r="AM13" s="70">
        <v>1</v>
      </c>
      <c r="AN13" s="70">
        <v>1</v>
      </c>
      <c r="AO13" s="70">
        <v>1</v>
      </c>
      <c r="AP13" s="70">
        <v>1</v>
      </c>
      <c r="AQ13" s="70">
        <v>1</v>
      </c>
      <c r="AR13" s="70">
        <v>1</v>
      </c>
      <c r="AS13" s="70">
        <v>1</v>
      </c>
      <c r="AT13" s="70">
        <v>1</v>
      </c>
      <c r="AU13" s="70">
        <v>1</v>
      </c>
    </row>
    <row r="14" spans="2:47" ht="14.25" thickBot="1">
      <c r="C14" s="3" t="s">
        <v>156</v>
      </c>
      <c r="H14" s="3" t="s">
        <v>156</v>
      </c>
      <c r="P14" s="71" t="s">
        <v>154</v>
      </c>
      <c r="Q14" s="71">
        <v>0.99</v>
      </c>
      <c r="R14" s="71">
        <f>Q14</f>
        <v>0.99</v>
      </c>
      <c r="S14" s="71">
        <f t="shared" ref="S14:AU14" si="0">R14</f>
        <v>0.99</v>
      </c>
      <c r="T14" s="71">
        <f t="shared" si="0"/>
        <v>0.99</v>
      </c>
      <c r="U14" s="71">
        <f t="shared" si="0"/>
        <v>0.99</v>
      </c>
      <c r="V14" s="71">
        <f t="shared" si="0"/>
        <v>0.99</v>
      </c>
      <c r="W14" s="71">
        <f t="shared" si="0"/>
        <v>0.99</v>
      </c>
      <c r="X14" s="71">
        <f t="shared" si="0"/>
        <v>0.99</v>
      </c>
      <c r="Y14" s="71">
        <f t="shared" si="0"/>
        <v>0.99</v>
      </c>
      <c r="Z14" s="71">
        <f t="shared" si="0"/>
        <v>0.99</v>
      </c>
      <c r="AA14" s="71">
        <f t="shared" si="0"/>
        <v>0.99</v>
      </c>
      <c r="AB14" s="71">
        <f t="shared" si="0"/>
        <v>0.99</v>
      </c>
      <c r="AC14" s="71">
        <f t="shared" si="0"/>
        <v>0.99</v>
      </c>
      <c r="AD14" s="71">
        <f t="shared" si="0"/>
        <v>0.99</v>
      </c>
      <c r="AE14" s="71">
        <f t="shared" si="0"/>
        <v>0.99</v>
      </c>
      <c r="AF14" s="71">
        <f t="shared" si="0"/>
        <v>0.99</v>
      </c>
      <c r="AG14" s="71">
        <f t="shared" si="0"/>
        <v>0.99</v>
      </c>
      <c r="AH14" s="71">
        <f t="shared" si="0"/>
        <v>0.99</v>
      </c>
      <c r="AI14" s="71">
        <f t="shared" si="0"/>
        <v>0.99</v>
      </c>
      <c r="AJ14" s="71">
        <f t="shared" si="0"/>
        <v>0.99</v>
      </c>
      <c r="AK14" s="71">
        <f t="shared" si="0"/>
        <v>0.99</v>
      </c>
      <c r="AL14" s="71">
        <f t="shared" si="0"/>
        <v>0.99</v>
      </c>
      <c r="AM14" s="71">
        <f t="shared" si="0"/>
        <v>0.99</v>
      </c>
      <c r="AN14" s="71">
        <f t="shared" si="0"/>
        <v>0.99</v>
      </c>
      <c r="AO14" s="71">
        <f t="shared" si="0"/>
        <v>0.99</v>
      </c>
      <c r="AP14" s="71">
        <f t="shared" si="0"/>
        <v>0.99</v>
      </c>
      <c r="AQ14" s="71">
        <f t="shared" si="0"/>
        <v>0.99</v>
      </c>
      <c r="AR14" s="71">
        <f t="shared" si="0"/>
        <v>0.99</v>
      </c>
      <c r="AS14" s="71">
        <f t="shared" si="0"/>
        <v>0.99</v>
      </c>
      <c r="AT14" s="71">
        <f t="shared" si="0"/>
        <v>0.99</v>
      </c>
      <c r="AU14" s="71">
        <f t="shared" si="0"/>
        <v>0.99</v>
      </c>
    </row>
    <row r="15" spans="2:47" ht="13.7" thickBot="1">
      <c r="B15" s="12" t="s">
        <v>45</v>
      </c>
      <c r="C15" s="12" t="s">
        <v>157</v>
      </c>
      <c r="D15" s="14"/>
      <c r="G15" s="12" t="s">
        <v>45</v>
      </c>
      <c r="H15" s="12" t="s">
        <v>157</v>
      </c>
      <c r="I15" s="14"/>
    </row>
    <row r="16" spans="2:47" ht="65.25">
      <c r="B16" s="13" t="s">
        <v>147</v>
      </c>
      <c r="C16" s="13" t="s">
        <v>158</v>
      </c>
      <c r="D16" s="13" t="s">
        <v>159</v>
      </c>
      <c r="G16" s="13" t="s">
        <v>147</v>
      </c>
      <c r="H16" s="13" t="s">
        <v>158</v>
      </c>
      <c r="I16" s="13" t="s">
        <v>160</v>
      </c>
      <c r="K16" s="1"/>
      <c r="O16" s="73" t="s">
        <v>161</v>
      </c>
    </row>
    <row r="17" spans="2:47" ht="14.25" thickBot="1">
      <c r="B17" s="11" t="str">
        <f>SEC_Comm!C11</f>
        <v>ELE_UZYTEK</v>
      </c>
      <c r="C17" t="s">
        <v>162</v>
      </c>
      <c r="D17" s="80">
        <v>3.5714285714285712E-2</v>
      </c>
      <c r="G17" s="11" t="str">
        <f>B8</f>
        <v>CIEP_UZYTEK</v>
      </c>
      <c r="H17" t="s">
        <v>162</v>
      </c>
      <c r="I17" s="80">
        <v>3.5714285714285712E-2</v>
      </c>
      <c r="O17" s="65" t="s">
        <v>45</v>
      </c>
      <c r="P17" s="65"/>
      <c r="Q17" s="65" t="s">
        <v>113</v>
      </c>
      <c r="R17" s="65" t="s">
        <v>114</v>
      </c>
      <c r="S17" s="65" t="s">
        <v>115</v>
      </c>
      <c r="T17" s="65" t="s">
        <v>116</v>
      </c>
      <c r="U17" s="65" t="s">
        <v>117</v>
      </c>
      <c r="V17" s="65" t="s">
        <v>118</v>
      </c>
      <c r="W17" s="65" t="s">
        <v>119</v>
      </c>
      <c r="X17" s="65" t="s">
        <v>120</v>
      </c>
      <c r="Y17" s="65" t="s">
        <v>121</v>
      </c>
      <c r="Z17" s="65" t="s">
        <v>122</v>
      </c>
      <c r="AA17" s="65" t="s">
        <v>123</v>
      </c>
      <c r="AB17" s="65" t="s">
        <v>124</v>
      </c>
      <c r="AC17" s="65" t="s">
        <v>125</v>
      </c>
      <c r="AD17" s="65" t="s">
        <v>126</v>
      </c>
      <c r="AE17" s="65" t="s">
        <v>127</v>
      </c>
      <c r="AF17" s="65" t="s">
        <v>128</v>
      </c>
      <c r="AG17" s="65" t="s">
        <v>129</v>
      </c>
      <c r="AH17" s="65" t="s">
        <v>130</v>
      </c>
      <c r="AI17" s="65" t="s">
        <v>131</v>
      </c>
      <c r="AJ17" s="65" t="s">
        <v>132</v>
      </c>
      <c r="AK17" s="65" t="s">
        <v>133</v>
      </c>
      <c r="AL17" s="65" t="s">
        <v>134</v>
      </c>
      <c r="AM17" s="65" t="s">
        <v>135</v>
      </c>
      <c r="AN17" s="65" t="s">
        <v>136</v>
      </c>
      <c r="AO17" s="65" t="s">
        <v>137</v>
      </c>
      <c r="AP17" s="65" t="s">
        <v>138</v>
      </c>
      <c r="AQ17" s="65" t="s">
        <v>139</v>
      </c>
      <c r="AR17" s="65" t="s">
        <v>140</v>
      </c>
      <c r="AS17" s="65" t="s">
        <v>141</v>
      </c>
      <c r="AT17" s="65" t="s">
        <v>142</v>
      </c>
      <c r="AU17" s="65" t="s">
        <v>143</v>
      </c>
    </row>
    <row r="18" spans="2:47" ht="13.7" customHeight="1" thickBot="1">
      <c r="B18" s="11" t="str">
        <f>$B$17</f>
        <v>ELE_UZYTEK</v>
      </c>
      <c r="C18" t="s">
        <v>163</v>
      </c>
      <c r="D18" s="80">
        <v>3.5714285714285712E-2</v>
      </c>
      <c r="G18" s="11" t="str">
        <f>G17</f>
        <v>CIEP_UZYTEK</v>
      </c>
      <c r="H18" t="s">
        <v>163</v>
      </c>
      <c r="I18" s="80">
        <v>3.5714285714285712E-2</v>
      </c>
      <c r="O18" s="72" t="s">
        <v>147</v>
      </c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</row>
    <row r="19" spans="2:47">
      <c r="B19" s="11" t="str">
        <f t="shared" ref="B19:B44" si="1">$B$17</f>
        <v>ELE_UZYTEK</v>
      </c>
      <c r="C19" t="s">
        <v>164</v>
      </c>
      <c r="D19" s="80">
        <v>3.5714285714285712E-2</v>
      </c>
      <c r="G19" s="11" t="str">
        <f t="shared" ref="G19:G44" si="2">G18</f>
        <v>CIEP_UZYTEK</v>
      </c>
      <c r="H19" t="s">
        <v>164</v>
      </c>
      <c r="I19" s="80">
        <v>3.5714285714285712E-2</v>
      </c>
      <c r="O19" t="s">
        <v>69</v>
      </c>
      <c r="Q19" s="76">
        <f>C7</f>
        <v>422.42837571324009</v>
      </c>
      <c r="R19" s="76">
        <f>$Q$19*(R13+(R3-1)*R12)</f>
        <v>426.36752031676605</v>
      </c>
      <c r="S19" s="76">
        <f t="shared" ref="S19:AU19" si="3">$Q$19*(S13+(S3-1)*S12)</f>
        <v>430.38012996714787</v>
      </c>
      <c r="T19" s="76">
        <f t="shared" si="3"/>
        <v>434.46757478750919</v>
      </c>
      <c r="U19" s="76">
        <f t="shared" si="3"/>
        <v>438.63125045377029</v>
      </c>
      <c r="V19" s="76">
        <f t="shared" si="3"/>
        <v>442.87257867120712</v>
      </c>
      <c r="W19" s="76">
        <f t="shared" si="3"/>
        <v>446.66714311274995</v>
      </c>
      <c r="X19" s="76">
        <f t="shared" si="3"/>
        <v>450.52386251984552</v>
      </c>
      <c r="Y19" s="76">
        <f t="shared" si="3"/>
        <v>454.44375499082906</v>
      </c>
      <c r="Z19" s="76">
        <f t="shared" si="3"/>
        <v>458.42785530048747</v>
      </c>
      <c r="AA19" s="76">
        <f t="shared" si="3"/>
        <v>462.47721517321799</v>
      </c>
      <c r="AB19" s="76">
        <f t="shared" si="3"/>
        <v>466.14063011149403</v>
      </c>
      <c r="AC19" s="76">
        <f t="shared" si="3"/>
        <v>469.8574576395701</v>
      </c>
      <c r="AD19" s="76">
        <f t="shared" si="3"/>
        <v>473.62847651300552</v>
      </c>
      <c r="AE19" s="76">
        <f t="shared" si="3"/>
        <v>477.45447684161564</v>
      </c>
      <c r="AF19" s="76">
        <f t="shared" si="3"/>
        <v>481.3362602550169</v>
      </c>
      <c r="AG19" s="76">
        <f t="shared" si="3"/>
        <v>484.76681057447644</v>
      </c>
      <c r="AH19" s="76">
        <f t="shared" si="3"/>
        <v>488.24092888299327</v>
      </c>
      <c r="AI19" s="76">
        <f t="shared" si="3"/>
        <v>491.75916849402819</v>
      </c>
      <c r="AJ19" s="76">
        <f t="shared" si="3"/>
        <v>495.32208974812329</v>
      </c>
      <c r="AK19" s="76">
        <f t="shared" si="3"/>
        <v>498.93026010214533</v>
      </c>
      <c r="AL19" s="76">
        <f t="shared" si="3"/>
        <v>501.54592599141904</v>
      </c>
      <c r="AM19" s="76">
        <f t="shared" si="3"/>
        <v>504.18537125454185</v>
      </c>
      <c r="AN19" s="76">
        <f t="shared" si="3"/>
        <v>506.8488120730309</v>
      </c>
      <c r="AO19" s="76">
        <f t="shared" si="3"/>
        <v>509.53646659373919</v>
      </c>
      <c r="AP19" s="76">
        <f t="shared" si="3"/>
        <v>512.24855494672215</v>
      </c>
      <c r="AQ19" s="76">
        <f t="shared" si="3"/>
        <v>514.11353919051942</v>
      </c>
      <c r="AR19" s="76">
        <f t="shared" si="3"/>
        <v>515.99007748465067</v>
      </c>
      <c r="AS19" s="76">
        <f t="shared" si="3"/>
        <v>517.87824140938778</v>
      </c>
      <c r="AT19" s="76">
        <f t="shared" si="3"/>
        <v>519.77810298846055</v>
      </c>
      <c r="AU19" s="76">
        <f t="shared" si="3"/>
        <v>521.68973469180355</v>
      </c>
    </row>
    <row r="20" spans="2:47">
      <c r="B20" s="11" t="str">
        <f t="shared" si="1"/>
        <v>ELE_UZYTEK</v>
      </c>
      <c r="C20" t="s">
        <v>165</v>
      </c>
      <c r="D20" s="80">
        <v>3.5714285714285712E-2</v>
      </c>
      <c r="G20" s="11" t="str">
        <f t="shared" si="2"/>
        <v>CIEP_UZYTEK</v>
      </c>
      <c r="H20" t="s">
        <v>165</v>
      </c>
      <c r="I20" s="80">
        <v>3.5714285714285712E-2</v>
      </c>
      <c r="O20" t="s">
        <v>71</v>
      </c>
      <c r="Q20" s="76">
        <f>C8</f>
        <v>202.96761239999998</v>
      </c>
      <c r="R20" s="76">
        <f>$Q$20*(R14+(R4-1)*R13)</f>
        <v>200.57875764681418</v>
      </c>
      <c r="S20" s="76">
        <f t="shared" ref="S20:AU20" si="4">$Q$20*(S14+(S4-1)*S13)</f>
        <v>200.19075531847787</v>
      </c>
      <c r="T20" s="76">
        <f t="shared" si="4"/>
        <v>199.77120977284739</v>
      </c>
      <c r="U20" s="76">
        <f t="shared" si="4"/>
        <v>199.31743342349893</v>
      </c>
      <c r="V20" s="76">
        <f t="shared" si="4"/>
        <v>198.82862265548212</v>
      </c>
      <c r="W20" s="76">
        <f t="shared" si="4"/>
        <v>198.30476150293694</v>
      </c>
      <c r="X20" s="76">
        <f t="shared" si="4"/>
        <v>197.7459085073499</v>
      </c>
      <c r="Y20" s="76">
        <f t="shared" si="4"/>
        <v>197.15261182991236</v>
      </c>
      <c r="Z20" s="76">
        <f t="shared" si="4"/>
        <v>196.52602101254021</v>
      </c>
      <c r="AA20" s="76">
        <f t="shared" si="4"/>
        <v>195.86754637286177</v>
      </c>
      <c r="AB20" s="76">
        <f t="shared" si="4"/>
        <v>195.17335610449067</v>
      </c>
      <c r="AC20" s="76">
        <f t="shared" si="4"/>
        <v>194.44612714994409</v>
      </c>
      <c r="AD20" s="76">
        <f t="shared" si="4"/>
        <v>193.68881851526476</v>
      </c>
      <c r="AE20" s="76">
        <f t="shared" si="4"/>
        <v>192.90475642127419</v>
      </c>
      <c r="AF20" s="76">
        <f t="shared" si="4"/>
        <v>192.0979961963979</v>
      </c>
      <c r="AG20" s="76">
        <f t="shared" si="4"/>
        <v>191.26901681643415</v>
      </c>
      <c r="AH20" s="76">
        <f t="shared" si="4"/>
        <v>190.42117643392433</v>
      </c>
      <c r="AI20" s="76">
        <f t="shared" si="4"/>
        <v>189.5576416110905</v>
      </c>
      <c r="AJ20" s="76">
        <f t="shared" si="4"/>
        <v>188.68170663703424</v>
      </c>
      <c r="AK20" s="76">
        <f t="shared" si="4"/>
        <v>187.79498938556307</v>
      </c>
      <c r="AL20" s="76">
        <f t="shared" si="4"/>
        <v>186.90099170195785</v>
      </c>
      <c r="AM20" s="76">
        <f t="shared" si="4"/>
        <v>185.99994243021115</v>
      </c>
      <c r="AN20" s="76">
        <f t="shared" si="4"/>
        <v>185.0937361857028</v>
      </c>
      <c r="AO20" s="76">
        <f t="shared" si="4"/>
        <v>184.18238893429282</v>
      </c>
      <c r="AP20" s="76">
        <f t="shared" si="4"/>
        <v>183.26682137390455</v>
      </c>
      <c r="AQ20" s="76">
        <f t="shared" si="4"/>
        <v>182.34787969511493</v>
      </c>
      <c r="AR20" s="76">
        <f t="shared" si="4"/>
        <v>181.42557454183068</v>
      </c>
      <c r="AS20" s="76">
        <f t="shared" si="4"/>
        <v>180.50185907091813</v>
      </c>
      <c r="AT20" s="76">
        <f t="shared" si="4"/>
        <v>179.57735062896174</v>
      </c>
      <c r="AU20" s="76">
        <f t="shared" si="4"/>
        <v>178.65366708976907</v>
      </c>
    </row>
    <row r="21" spans="2:47">
      <c r="B21" s="11" t="str">
        <f t="shared" si="1"/>
        <v>ELE_UZYTEK</v>
      </c>
      <c r="C21" t="s">
        <v>166</v>
      </c>
      <c r="D21" s="80">
        <v>3.5714285714285712E-2</v>
      </c>
      <c r="G21" s="11" t="str">
        <f t="shared" si="2"/>
        <v>CIEP_UZYTEK</v>
      </c>
      <c r="H21" t="s">
        <v>166</v>
      </c>
      <c r="I21" s="80">
        <v>3.5714285714285712E-2</v>
      </c>
    </row>
    <row r="22" spans="2:47">
      <c r="B22" s="11" t="str">
        <f t="shared" si="1"/>
        <v>ELE_UZYTEK</v>
      </c>
      <c r="C22" t="s">
        <v>167</v>
      </c>
      <c r="D22" s="80">
        <v>3.5714285714285712E-2</v>
      </c>
      <c r="G22" s="11" t="str">
        <f t="shared" si="2"/>
        <v>CIEP_UZYTEK</v>
      </c>
      <c r="H22" t="s">
        <v>167</v>
      </c>
      <c r="I22" s="80">
        <v>3.5714285714285712E-2</v>
      </c>
    </row>
    <row r="23" spans="2:47">
      <c r="B23" s="11" t="str">
        <f t="shared" si="1"/>
        <v>ELE_UZYTEK</v>
      </c>
      <c r="C23" t="s">
        <v>168</v>
      </c>
      <c r="D23" s="80">
        <v>3.5714285714285712E-2</v>
      </c>
      <c r="G23" s="11" t="str">
        <f t="shared" si="2"/>
        <v>CIEP_UZYTEK</v>
      </c>
      <c r="H23" t="s">
        <v>168</v>
      </c>
      <c r="I23" s="80">
        <v>3.5714285714285712E-2</v>
      </c>
    </row>
    <row r="24" spans="2:47">
      <c r="B24" s="11" t="str">
        <f t="shared" si="1"/>
        <v>ELE_UZYTEK</v>
      </c>
      <c r="C24" t="s">
        <v>169</v>
      </c>
      <c r="D24" s="80">
        <v>3.5714285714285712E-2</v>
      </c>
      <c r="G24" s="11" t="str">
        <f t="shared" si="2"/>
        <v>CIEP_UZYTEK</v>
      </c>
      <c r="H24" t="s">
        <v>169</v>
      </c>
      <c r="I24" s="80">
        <v>3.5714285714285712E-2</v>
      </c>
    </row>
    <row r="25" spans="2:47">
      <c r="B25" s="11" t="str">
        <f t="shared" si="1"/>
        <v>ELE_UZYTEK</v>
      </c>
      <c r="C25" t="s">
        <v>170</v>
      </c>
      <c r="D25" s="80">
        <v>3.5714285714285712E-2</v>
      </c>
      <c r="G25" s="11" t="str">
        <f t="shared" si="2"/>
        <v>CIEP_UZYTEK</v>
      </c>
      <c r="H25" t="s">
        <v>170</v>
      </c>
      <c r="I25" s="80">
        <v>3.5714285714285712E-2</v>
      </c>
    </row>
    <row r="26" spans="2:47">
      <c r="B26" s="11" t="str">
        <f t="shared" si="1"/>
        <v>ELE_UZYTEK</v>
      </c>
      <c r="C26" t="s">
        <v>171</v>
      </c>
      <c r="D26" s="80">
        <v>3.5714285714285712E-2</v>
      </c>
      <c r="G26" s="11" t="str">
        <f t="shared" si="2"/>
        <v>CIEP_UZYTEK</v>
      </c>
      <c r="H26" t="s">
        <v>171</v>
      </c>
      <c r="I26" s="80">
        <v>3.5714285714285712E-2</v>
      </c>
    </row>
    <row r="27" spans="2:47">
      <c r="B27" s="11" t="str">
        <f t="shared" si="1"/>
        <v>ELE_UZYTEK</v>
      </c>
      <c r="C27" t="s">
        <v>172</v>
      </c>
      <c r="D27" s="80">
        <v>3.5714285714285712E-2</v>
      </c>
      <c r="G27" s="11" t="str">
        <f t="shared" si="2"/>
        <v>CIEP_UZYTEK</v>
      </c>
      <c r="H27" t="s">
        <v>172</v>
      </c>
      <c r="I27" s="80">
        <v>3.5714285714285712E-2</v>
      </c>
    </row>
    <row r="28" spans="2:47">
      <c r="B28" s="11" t="str">
        <f t="shared" si="1"/>
        <v>ELE_UZYTEK</v>
      </c>
      <c r="C28" t="s">
        <v>173</v>
      </c>
      <c r="D28" s="80">
        <v>3.5714285714285712E-2</v>
      </c>
      <c r="G28" s="11" t="str">
        <f t="shared" si="2"/>
        <v>CIEP_UZYTEK</v>
      </c>
      <c r="H28" t="s">
        <v>173</v>
      </c>
      <c r="I28" s="80">
        <v>3.5714285714285712E-2</v>
      </c>
    </row>
    <row r="29" spans="2:47">
      <c r="B29" s="11" t="str">
        <f t="shared" si="1"/>
        <v>ELE_UZYTEK</v>
      </c>
      <c r="C29" t="s">
        <v>174</v>
      </c>
      <c r="D29" s="80">
        <v>3.5714285714285712E-2</v>
      </c>
      <c r="G29" s="11" t="str">
        <f t="shared" si="2"/>
        <v>CIEP_UZYTEK</v>
      </c>
      <c r="H29" t="s">
        <v>174</v>
      </c>
      <c r="I29" s="80">
        <v>3.5714285714285712E-2</v>
      </c>
    </row>
    <row r="30" spans="2:47">
      <c r="B30" s="11" t="str">
        <f t="shared" si="1"/>
        <v>ELE_UZYTEK</v>
      </c>
      <c r="C30" t="s">
        <v>175</v>
      </c>
      <c r="D30" s="80">
        <v>3.5714285714285712E-2</v>
      </c>
      <c r="G30" s="11" t="str">
        <f t="shared" si="2"/>
        <v>CIEP_UZYTEK</v>
      </c>
      <c r="H30" t="s">
        <v>175</v>
      </c>
      <c r="I30" s="80">
        <v>3.5714285714285712E-2</v>
      </c>
    </row>
    <row r="31" spans="2:47">
      <c r="B31" s="11" t="str">
        <f t="shared" si="1"/>
        <v>ELE_UZYTEK</v>
      </c>
      <c r="C31" t="s">
        <v>176</v>
      </c>
      <c r="D31" s="80">
        <v>3.5714285714285712E-2</v>
      </c>
      <c r="G31" s="11" t="str">
        <f t="shared" si="2"/>
        <v>CIEP_UZYTEK</v>
      </c>
      <c r="H31" t="s">
        <v>176</v>
      </c>
      <c r="I31" s="80">
        <v>3.5714285714285712E-2</v>
      </c>
    </row>
    <row r="32" spans="2:47">
      <c r="B32" s="11" t="str">
        <f t="shared" si="1"/>
        <v>ELE_UZYTEK</v>
      </c>
      <c r="C32" t="s">
        <v>177</v>
      </c>
      <c r="D32" s="80">
        <v>3.5714285714285712E-2</v>
      </c>
      <c r="G32" s="11" t="str">
        <f t="shared" si="2"/>
        <v>CIEP_UZYTEK</v>
      </c>
      <c r="H32" t="s">
        <v>177</v>
      </c>
      <c r="I32" s="80">
        <v>3.5714285714285712E-2</v>
      </c>
    </row>
    <row r="33" spans="2:9">
      <c r="B33" s="11" t="str">
        <f t="shared" si="1"/>
        <v>ELE_UZYTEK</v>
      </c>
      <c r="C33" t="s">
        <v>178</v>
      </c>
      <c r="D33" s="80">
        <v>3.5714285714285712E-2</v>
      </c>
      <c r="G33" s="11" t="str">
        <f t="shared" si="2"/>
        <v>CIEP_UZYTEK</v>
      </c>
      <c r="H33" t="s">
        <v>178</v>
      </c>
      <c r="I33" s="80">
        <v>3.5714285714285712E-2</v>
      </c>
    </row>
    <row r="34" spans="2:9">
      <c r="B34" s="11" t="str">
        <f t="shared" si="1"/>
        <v>ELE_UZYTEK</v>
      </c>
      <c r="C34" t="s">
        <v>179</v>
      </c>
      <c r="D34" s="80">
        <v>3.5714285714285712E-2</v>
      </c>
      <c r="G34" s="11" t="str">
        <f t="shared" si="2"/>
        <v>CIEP_UZYTEK</v>
      </c>
      <c r="H34" t="s">
        <v>179</v>
      </c>
      <c r="I34" s="80">
        <v>3.5714285714285712E-2</v>
      </c>
    </row>
    <row r="35" spans="2:9">
      <c r="B35" s="11" t="str">
        <f t="shared" si="1"/>
        <v>ELE_UZYTEK</v>
      </c>
      <c r="C35" t="s">
        <v>180</v>
      </c>
      <c r="D35" s="80">
        <v>3.5714285714285712E-2</v>
      </c>
      <c r="G35" s="11" t="str">
        <f t="shared" si="2"/>
        <v>CIEP_UZYTEK</v>
      </c>
      <c r="H35" t="s">
        <v>180</v>
      </c>
      <c r="I35" s="80">
        <v>3.5714285714285712E-2</v>
      </c>
    </row>
    <row r="36" spans="2:9">
      <c r="B36" s="11" t="str">
        <f t="shared" si="1"/>
        <v>ELE_UZYTEK</v>
      </c>
      <c r="C36" t="s">
        <v>181</v>
      </c>
      <c r="D36" s="80">
        <v>3.5714285714285712E-2</v>
      </c>
      <c r="G36" s="11" t="str">
        <f t="shared" si="2"/>
        <v>CIEP_UZYTEK</v>
      </c>
      <c r="H36" t="s">
        <v>181</v>
      </c>
      <c r="I36" s="80">
        <v>3.5714285714285712E-2</v>
      </c>
    </row>
    <row r="37" spans="2:9">
      <c r="B37" s="11" t="str">
        <f t="shared" si="1"/>
        <v>ELE_UZYTEK</v>
      </c>
      <c r="C37" t="s">
        <v>182</v>
      </c>
      <c r="D37" s="80">
        <v>3.5714285714285712E-2</v>
      </c>
      <c r="G37" s="11" t="str">
        <f t="shared" si="2"/>
        <v>CIEP_UZYTEK</v>
      </c>
      <c r="H37" t="s">
        <v>182</v>
      </c>
      <c r="I37" s="80">
        <v>3.5714285714285712E-2</v>
      </c>
    </row>
    <row r="38" spans="2:9">
      <c r="B38" s="11" t="str">
        <f t="shared" si="1"/>
        <v>ELE_UZYTEK</v>
      </c>
      <c r="C38" t="s">
        <v>183</v>
      </c>
      <c r="D38" s="80">
        <v>3.5714285714285712E-2</v>
      </c>
      <c r="G38" s="11" t="str">
        <f t="shared" si="2"/>
        <v>CIEP_UZYTEK</v>
      </c>
      <c r="H38" t="s">
        <v>183</v>
      </c>
      <c r="I38" s="80">
        <v>3.5714285714285712E-2</v>
      </c>
    </row>
    <row r="39" spans="2:9">
      <c r="B39" s="11" t="str">
        <f t="shared" si="1"/>
        <v>ELE_UZYTEK</v>
      </c>
      <c r="C39" t="s">
        <v>184</v>
      </c>
      <c r="D39" s="80">
        <v>3.5714285714285712E-2</v>
      </c>
      <c r="G39" s="11" t="str">
        <f t="shared" si="2"/>
        <v>CIEP_UZYTEK</v>
      </c>
      <c r="H39" t="s">
        <v>184</v>
      </c>
      <c r="I39" s="80">
        <v>3.5714285714285712E-2</v>
      </c>
    </row>
    <row r="40" spans="2:9">
      <c r="B40" s="11" t="str">
        <f t="shared" si="1"/>
        <v>ELE_UZYTEK</v>
      </c>
      <c r="C40" t="s">
        <v>185</v>
      </c>
      <c r="D40" s="80">
        <v>3.5714285714285712E-2</v>
      </c>
      <c r="G40" s="11" t="str">
        <f t="shared" si="2"/>
        <v>CIEP_UZYTEK</v>
      </c>
      <c r="H40" t="s">
        <v>185</v>
      </c>
      <c r="I40" s="80">
        <v>3.5714285714285712E-2</v>
      </c>
    </row>
    <row r="41" spans="2:9">
      <c r="B41" s="11" t="str">
        <f t="shared" si="1"/>
        <v>ELE_UZYTEK</v>
      </c>
      <c r="C41" t="s">
        <v>186</v>
      </c>
      <c r="D41" s="80">
        <v>3.5714285714285712E-2</v>
      </c>
      <c r="G41" s="11" t="str">
        <f t="shared" si="2"/>
        <v>CIEP_UZYTEK</v>
      </c>
      <c r="H41" t="s">
        <v>186</v>
      </c>
      <c r="I41" s="80">
        <v>3.5714285714285712E-2</v>
      </c>
    </row>
    <row r="42" spans="2:9">
      <c r="B42" s="11" t="str">
        <f t="shared" si="1"/>
        <v>ELE_UZYTEK</v>
      </c>
      <c r="C42" t="s">
        <v>187</v>
      </c>
      <c r="D42" s="80">
        <v>3.5714285714285712E-2</v>
      </c>
      <c r="G42" s="11" t="str">
        <f t="shared" si="2"/>
        <v>CIEP_UZYTEK</v>
      </c>
      <c r="H42" t="s">
        <v>187</v>
      </c>
      <c r="I42" s="80">
        <v>3.5714285714285712E-2</v>
      </c>
    </row>
    <row r="43" spans="2:9">
      <c r="B43" s="11" t="str">
        <f t="shared" si="1"/>
        <v>ELE_UZYTEK</v>
      </c>
      <c r="C43" t="s">
        <v>188</v>
      </c>
      <c r="D43" s="80">
        <v>3.5714285714285712E-2</v>
      </c>
      <c r="G43" s="11" t="str">
        <f t="shared" si="2"/>
        <v>CIEP_UZYTEK</v>
      </c>
      <c r="H43" t="s">
        <v>188</v>
      </c>
      <c r="I43" s="80">
        <v>3.5714285714285712E-2</v>
      </c>
    </row>
    <row r="44" spans="2:9">
      <c r="B44" s="11" t="str">
        <f t="shared" si="1"/>
        <v>ELE_UZYTEK</v>
      </c>
      <c r="C44" t="s">
        <v>189</v>
      </c>
      <c r="D44" s="80">
        <v>3.5714285714285712E-2</v>
      </c>
      <c r="G44" s="11" t="str">
        <f t="shared" si="2"/>
        <v>CIEP_UZYTEK</v>
      </c>
      <c r="H44" t="s">
        <v>189</v>
      </c>
      <c r="I44" s="80">
        <v>3.5714285714285712E-2</v>
      </c>
    </row>
  </sheetData>
  <mergeCells count="1">
    <mergeCell ref="C6:I6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2" ma:contentTypeDescription="Create a new document." ma:contentTypeScope="" ma:versionID="ec85db34e74be2b7676d82a37db561ad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c47b525c3abbe3dcec1085a86f8d7d20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0C7D8-3DA2-4040-BD22-32A4309F1E67}"/>
</file>

<file path=customXml/itemProps2.xml><?xml version="1.0" encoding="utf-8"?>
<ds:datastoreItem xmlns:ds="http://schemas.openxmlformats.org/officeDocument/2006/customXml" ds:itemID="{1CA861A5-7E6A-41A7-8E0B-DCD15A12B5CB}"/>
</file>

<file path=customXml/itemProps3.xml><?xml version="1.0" encoding="utf-8"?>
<ds:datastoreItem xmlns:ds="http://schemas.openxmlformats.org/officeDocument/2006/customXml" ds:itemID="{A551C1B6-05FC-4B61-8034-B37F3A0576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Artur Wyrwa</cp:lastModifiedBy>
  <cp:revision/>
  <dcterms:created xsi:type="dcterms:W3CDTF">2000-12-13T15:53:11Z</dcterms:created>
  <dcterms:modified xsi:type="dcterms:W3CDTF">2022-08-23T10:11:31Z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693244576454162</vt:r8>
  </property>
</Properties>
</file>